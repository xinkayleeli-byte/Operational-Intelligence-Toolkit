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9e9b9553564ac7" /></Relationships>
</file>

<file path=xl/workbook.xml><?xml version="1.0" encoding="utf-8"?>
<x:workbook xmlns:x="http://schemas.openxmlformats.org/spreadsheetml/2006/main">
  <x:sheets>
    <x:sheet xmlns:r="http://schemas.openxmlformats.org/officeDocument/2006/relationships" name="Start Here" sheetId="1" r:id="Rcaf85a1b8bde411b"/>
    <x:sheet xmlns:r="http://schemas.openxmlformats.org/officeDocument/2006/relationships" name="Partner Scorecard" sheetId="2" r:id="R4c9905b893d945f4"/>
    <x:sheet xmlns:r="http://schemas.openxmlformats.org/officeDocument/2006/relationships" name="Metric Validation" sheetId="3" r:id="Re99ee6c7678f4067"/>
    <x:sheet xmlns:r="http://schemas.openxmlformats.org/officeDocument/2006/relationships" name="ROI Calculator" sheetId="4" r:id="R79b61c42fb6a4f87"/>
    <x:sheet xmlns:r="http://schemas.openxmlformats.org/officeDocument/2006/relationships" name="Maturity Assessment" sheetId="5" r:id="Rbbfb0fc634db4ca0"/>
    <x:sheet xmlns:r="http://schemas.openxmlformats.org/officeDocument/2006/relationships" name="Pilot Charter" sheetId="6" r:id="Ra90929b1562b4b45"/>
    <x:sheet xmlns:r="http://schemas.openxmlformats.org/officeDocument/2006/relationships" name="Pilot Evaluation" sheetId="7" r:id="R77aa8d57b21342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
    <x:numFmt numFmtId="202" formatCode="0.0"/>
    <x:numFmt numFmtId="203" formatCode="$#,##0"/>
  </x:numFmts>
  <x:fonts count="8">
    <x:font>
      <x:sz val="11"/>
      <x:name val="Carlito"/>
    </x:font>
    <x:font>
      <x:sz val="10"/>
      <x:color rgb="FF1F2933"/>
      <x:name val="Arial"/>
    </x:font>
    <x:font>
      <x:b/>
      <x:sz val="15"/>
      <x:color rgb="FF18324A"/>
      <x:name val="Arial"/>
    </x:font>
    <x:font>
      <x:i/>
      <x:sz val="10"/>
      <x:color rgb="FF5B6770"/>
      <x:name val="Arial"/>
    </x:font>
    <x:font>
      <x:b/>
      <x:sz val="10"/>
      <x:color rgb="FF18324A"/>
      <x:name val="Arial"/>
    </x:font>
    <x:font>
      <x:b/>
      <x:sz val="10"/>
      <x:color rgb="FFFFFFFF"/>
      <x:name val="Arial"/>
    </x:font>
    <x:font>
      <x:b/>
      <x:sz val="10"/>
      <x:color rgb="FF1F2933"/>
      <x:name val="Arial"/>
    </x:font>
    <x:font>
      <x:i/>
      <x:sz val="9"/>
      <x:color rgb="FF5B6770"/>
      <x:name val="Arial"/>
    </x:font>
  </x:fonts>
  <x:fills count="7">
    <x:fill>
      <x:patternFill patternType="none"/>
    </x:fill>
    <x:fill>
      <x:patternFill patternType="gray125"/>
    </x:fill>
    <x:fill>
      <x:patternFill patternType="solid">
        <x:fgColor rgb="FFEAF2F8"/>
      </x:patternFill>
    </x:fill>
    <x:fill>
      <x:patternFill patternType="solid">
        <x:fgColor rgb="FF18324A"/>
      </x:patternFill>
    </x:fill>
    <x:fill>
      <x:patternFill patternType="solid">
        <x:fgColor rgb="FFE6F3F2"/>
      </x:patternFill>
    </x:fill>
    <x:fill>
      <x:patternFill patternType="solid">
        <x:fgColor rgb="FFFFF2CC"/>
      </x:patternFill>
    </x:fill>
    <x:fill>
      <x:patternFill patternType="solid">
        <x:fgColor rgb="FFF2F4F7"/>
      </x:patternFill>
    </x:fill>
  </x:fills>
  <x:borders count="6">
    <x:border/>
    <x:border>
      <x:bottom style="thin">
        <x:color rgb="FF2E5E87"/>
      </x:bottom>
    </x:border>
    <x:border>
      <x:right style="thin">
        <x:color rgb="FFFFFFFF"/>
      </x:right>
    </x:border>
    <x:border>
      <x:left style="thin">
        <x:color rgb="FFFFFFFF"/>
      </x:left>
      <x:right style="thin">
        <x:color rgb="FFFFFFFF"/>
      </x:right>
    </x:border>
    <x:border>
      <x:left style="thin">
        <x:color rgb="FFFFFFFF"/>
      </x:left>
    </x:border>
    <x:border>
      <x:bottom style="thin">
        <x:color rgb="FFCAD3DC"/>
      </x:bottom>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3" xfId="0" applyNumberFormat="1" applyFont="1" applyFill="1" applyBorder="1" applyAlignment="1">
      <x:alignment vertical="center"/>
    </x:xf>
    <x:xf numFmtId="0" fontId="5" fillId="3" borderId="4" xfId="0" applyNumberFormat="1" applyFont="1" applyFill="1" applyBorder="1" applyAlignment="1">
      <x:alignment vertical="center"/>
    </x:xf>
    <x:xf numFmtId="0" fontId="5" fillId="3" borderId="2"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1" fillId="0" borderId="5" xfId="0" applyNumberFormat="1" applyFont="1" applyFill="1" applyBorder="1" applyAlignment="1">
      <x:alignment vertical="center" wrapText="1"/>
    </x:xf>
    <x:xf numFmtId="0" fontId="1" fillId="0" borderId="5"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6" fillId="5"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7" fillId="6" borderId="0" xfId="0" applyNumberFormat="1" applyFont="1" applyFill="1" applyBorder="1" applyAlignment="1">
      <x:alignment vertical="center"/>
    </x:xf>
    <x:xf numFmtId="0" fontId="7" fillId="6" borderId="0" xfId="0" applyNumberFormat="1" applyFont="1" applyFill="1" applyBorder="1" applyAlignment="1">
      <x:alignment vertical="center" wrapText="1"/>
    </x:xf>
    <x:xf numFmtId="201"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2" fontId="1" fillId="5" borderId="0" xfId="0" applyNumberFormat="1" applyFont="1" applyFill="1" applyBorder="1" applyAlignment="1">
      <x:alignment vertical="center"/>
    </x:xf>
    <x:xf numFmtId="201" fontId="1"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2" fontId="1" fillId="5" borderId="0" xfId="0" applyNumberFormat="1" applyFont="1" applyFill="1" applyBorder="1" applyAlignment="1">
      <x:alignment vertical="center" wrapText="1"/>
    </x:xf>
    <x:xf numFmtId="201" fontId="1" fillId="5" borderId="5" xfId="0" applyNumberFormat="1" applyFont="1" applyFill="1" applyBorder="1" applyAlignment="1">
      <x:alignment vertical="center" wrapText="1"/>
    </x:xf>
    <x:xf numFmtId="0" fontId="1" fillId="5" borderId="5" xfId="0" applyNumberFormat="1" applyFont="1" applyFill="1" applyBorder="1" applyAlignment="1">
      <x:alignment vertical="center" wrapText="1"/>
    </x:xf>
    <x:xf numFmtId="200" fontId="1" fillId="5" borderId="5" xfId="0" applyNumberFormat="1" applyFont="1" applyFill="1" applyBorder="1" applyAlignment="1">
      <x:alignment vertical="center" wrapText="1"/>
    </x:xf>
    <x:xf numFmtId="200" fontId="1" fillId="0" borderId="5" xfId="0" applyNumberFormat="1" applyFont="1" applyFill="1" applyBorder="1" applyAlignment="1">
      <x:alignment vertical="center" wrapText="1"/>
    </x:xf>
    <x:xf numFmtId="203" fontId="1" fillId="0" borderId="0" xfId="0" applyNumberFormat="1" applyFont="1" applyFill="1" applyBorder="1" applyAlignment="1">
      <x:alignment vertical="center"/>
    </x:xf>
    <x:xf numFmtId="203" fontId="1" fillId="5"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2" borderId="0" xfId="0" applyNumberFormat="1" applyFont="1" applyFill="1" applyBorder="1" applyAlignment="1">
      <x:alignment vertical="center"/>
    </x:xf>
    <x:xf numFmtId="202" fontId="1" fillId="2" borderId="0" xfId="0" applyNumberFormat="1" applyFont="1" applyFill="1" applyBorder="1" applyAlignment="1">
      <x:alignment vertical="center"/>
    </x:xf>
    <x:xf numFmtId="0" fontId="4" fillId="6"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3" fontId="1" fillId="5"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3" fontId="1" fillId="2" borderId="0" xfId="0" applyNumberFormat="1" applyFont="1" applyFill="1" applyBorder="1" applyAlignment="1">
      <x:alignment vertical="center" wrapText="1"/>
    </x:xf>
    <x:xf numFmtId="202" fontId="1" fillId="2"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cellXfs>
  <x:cellStyles count="1">
    <x:cellStyle name="Normal" xfId="0"/>
  </x:cellStyles>
  <x:dxfs count="9">
    <x:dxf>
      <x:font>
        <x:b/>
        <x:color rgb="FF9C0006"/>
      </x:font>
      <x:fill>
        <x:patternFill patternType="solid">
          <x:bgColor rgb="FFFCE8E6"/>
        </x:patternFill>
      </x:fill>
    </x:dxf>
    <x:dxf>
      <x:font>
        <x:color rgb="FF7F6000"/>
      </x:font>
      <x:fill>
        <x:patternFill patternType="solid">
          <x:bgColor rgb="FFFFF2CC"/>
        </x:patternFill>
      </x:fill>
    </x:dxf>
    <x:dxf>
      <x:font>
        <x:color rgb="FF375623"/>
      </x:font>
      <x:fill>
        <x:patternFill patternType="solid">
          <x:bgColor rgb="FFE2F0D9"/>
        </x:patternFill>
      </x:fill>
    </x:dxf>
    <x:dxf>
      <x:font>
        <x:b/>
        <x:color rgb="FF375623"/>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8E6"/>
        </x:patternFill>
      </x:fill>
    </x:dxf>
    <x:dxf>
      <x:font>
        <x:b/>
        <x:color rgb="FF9C0006"/>
      </x:font>
      <x:fill>
        <x:patternFill patternType="solid">
          <x:bgColor rgb="FFFCE8E6"/>
        </x:patternFill>
      </x:fill>
    </x:dxf>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24cd6c4e8f4fd2" /><Relationship Type="http://schemas.openxmlformats.org/officeDocument/2006/relationships/theme" Target="/xl/theme/theme1.xml" Id="R1ed8be576a134a4a" /><Relationship Type="http://schemas.openxmlformats.org/officeDocument/2006/relationships/sharedStrings" Target="/xl/sharedStrings.xml" Id="Ra37f6a549b7247b2" /><Relationship Type="http://schemas.openxmlformats.org/officeDocument/2006/relationships/worksheet" Target="/xl/worksheets/sheet1.xml" Id="Rcaf85a1b8bde411b" /><Relationship Type="http://schemas.openxmlformats.org/officeDocument/2006/relationships/worksheet" Target="/xl/worksheets/sheet2.xml" Id="R4c9905b893d945f4" /><Relationship Type="http://schemas.openxmlformats.org/officeDocument/2006/relationships/worksheet" Target="/xl/worksheets/sheet3.xml" Id="Re99ee6c7678f4067" /><Relationship Type="http://schemas.openxmlformats.org/officeDocument/2006/relationships/worksheet" Target="/xl/worksheets/sheet4.xml" Id="R79b61c42fb6a4f87" /><Relationship Type="http://schemas.openxmlformats.org/officeDocument/2006/relationships/worksheet" Target="/xl/worksheets/sheet5.xml" Id="Rbbfb0fc634db4ca0" /><Relationship Type="http://schemas.openxmlformats.org/officeDocument/2006/relationships/worksheet" Target="/xl/worksheets/sheet6.xml" Id="Ra90929b1562b4b45" /><Relationship Type="http://schemas.openxmlformats.org/officeDocument/2006/relationships/worksheet" Target="/xl/worksheets/sheet7.xml" Id="R77aa8d57b21342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8324A"/>
  </x:sheetPr>
  <x:sheetViews>
    <x:sheetView showGridLines="0" workbookViewId="0">
      <x:pane ySplit="4" topLeftCell="A5" activePane="bottomLeft" state="frozen"/>
    </x:sheetView>
  </x:sheetViews>
  <x:sheetFormatPr defaultRowHeight="15"/>
  <x:cols>
    <x:col min="1" max="1" width="22" hidden="0" customWidth="1"/>
    <x:col min="2" max="2" width="35" hidden="0" customWidth="1"/>
    <x:col min="3" max="3" width="28" hidden="0" customWidth="1"/>
    <x:col min="4" max="4" width="22" hidden="0" customWidth="1"/>
    <x:col min="5" max="5" width="22" hidden="0" customWidth="1"/>
    <x:col min="6" max="6" width="22" hidden="0" customWidth="1"/>
    <x:col min="7" max="7" width="22" hidden="0" customWidth="1"/>
    <x:col min="8" max="8" width="22" hidden="0" customWidth="1"/>
  </x:cols>
  <x:sheetData>
    <x:row r="1" ht="15" hidden="0" customHeight="1">
      <x:c r="A1" s="9"/>
      <x:c r="B1" s="9"/>
      <x:c r="C1" s="9"/>
      <x:c r="D1" s="9"/>
      <x:c r="E1" s="9"/>
      <x:c r="F1" s="9"/>
      <x:c r="G1" s="9"/>
      <x:c r="H1" s="9"/>
    </x:row>
    <x:row r="2" ht="24" hidden="0" customHeight="1">
      <x:c r="A2" s="53" t="str">
        <x:v>Operational Intelligence Toolkit</x:v>
      </x:c>
      <x:c r="B2" s="9"/>
      <x:c r="C2" s="9"/>
      <x:c r="D2" s="9"/>
      <x:c r="E2" s="9"/>
      <x:c r="F2" s="9"/>
      <x:c r="G2" s="9"/>
      <x:c r="H2" s="9"/>
    </x:row>
    <x:row r="3" ht="20" hidden="0" customHeight="1">
      <x:c r="A3" s="54" t="str">
        <x:v>Version 0.1 | Public, reusable methods for multi-party operations</x:v>
      </x:c>
      <x:c r="B3" s="9"/>
      <x:c r="C3" s="9"/>
      <x:c r="D3" s="9"/>
      <x:c r="E3" s="9"/>
      <x:c r="F3" s="9"/>
      <x:c r="G3" s="9"/>
      <x:c r="H3" s="9"/>
    </x:row>
    <x:row r="4" ht="15" hidden="0" customHeight="1">
      <x:c r="A4" s="55"/>
      <x:c r="B4" s="55"/>
      <x:c r="C4" s="55"/>
      <x:c r="D4" s="55"/>
      <x:c r="E4" s="55"/>
      <x:c r="F4" s="55"/>
      <x:c r="G4" s="55"/>
      <x:c r="H4" s="55"/>
    </x:row>
    <x:row r="5" ht="15" hidden="0" customHeight="1">
      <x:c r="A5" s="9"/>
      <x:c r="B5" s="9"/>
      <x:c r="C5" s="9"/>
      <x:c r="D5" s="9"/>
      <x:c r="E5" s="9"/>
      <x:c r="F5" s="9"/>
      <x:c r="G5" s="9"/>
      <x:c r="H5" s="9"/>
    </x:row>
    <x:row r="6" ht="15" hidden="0" customHeight="1">
      <x:c r="A6" s="56" t="str">
        <x:v>Purpose</x:v>
      </x:c>
      <x:c r="B6" s="56"/>
      <x:c r="C6" s="56"/>
      <x:c r="D6" s="56"/>
      <x:c r="E6" s="56"/>
      <x:c r="F6" s="56"/>
      <x:c r="G6" s="56"/>
      <x:c r="H6" s="56"/>
    </x:row>
    <x:row r="7" ht="23" customHeight="1">
      <x:c r="A7" s="9" t="str">
        <x:v>This toolkit helps organizations build a trusted operational picture, diagnose systemic causes, prioritize actionable risks, and govern measurable improvement. It is designed for digitally enabled supply chains and service-delivery systems that span multiple organizations.</x:v>
      </x:c>
      <x:c r="B7" s="9"/>
      <x:c r="C7" s="9"/>
      <x:c r="D7" s="9"/>
      <x:c r="E7" s="9"/>
      <x:c r="F7" s="9"/>
      <x:c r="G7" s="9"/>
      <x:c r="H7" s="9"/>
    </x:row>
    <x:row r="8" ht="23" customHeight="1">
      <x:c r="A8" s="9"/>
      <x:c r="B8" s="9"/>
      <x:c r="C8" s="9"/>
      <x:c r="D8" s="9"/>
      <x:c r="E8" s="9"/>
      <x:c r="F8" s="9"/>
      <x:c r="G8" s="9"/>
      <x:c r="H8" s="9"/>
    </x:row>
    <x:row r="9" ht="23" customHeight="1">
      <x:c r="A9" s="9"/>
      <x:c r="B9" s="9"/>
      <x:c r="C9" s="9"/>
      <x:c r="D9" s="9"/>
      <x:c r="E9" s="9"/>
      <x:c r="F9" s="9"/>
      <x:c r="G9" s="9"/>
      <x:c r="H9" s="9"/>
    </x:row>
    <x:row r="10" ht="15" hidden="0" customHeight="1">
      <x:c r="A10" s="9"/>
      <x:c r="B10" s="9"/>
      <x:c r="C10" s="9"/>
      <x:c r="D10" s="9"/>
      <x:c r="E10" s="9"/>
      <x:c r="F10" s="9"/>
      <x:c r="G10" s="9"/>
      <x:c r="H10" s="9"/>
    </x:row>
    <x:row r="11" ht="15" hidden="0" customHeight="1">
      <x:c r="A11" s="18" t="str">
        <x:v>Tool</x:v>
      </x:c>
      <x:c r="B11" s="19" t="str">
        <x:v>Primary decision</x:v>
      </x:c>
      <x:c r="C11" s="19" t="str">
        <x:v>Required inputs</x:v>
      </x:c>
      <x:c r="D11" s="19" t="str">
        <x:v>Output</x:v>
      </x:c>
      <x:c r="E11" s="19" t="str">
        <x:v>Evidence use</x:v>
      </x:c>
      <x:c r="F11" s="19" t="str">
        <x:v>Stage</x:v>
      </x:c>
      <x:c r="G11" s="19" t="str">
        <x:v>Owner</x:v>
      </x:c>
      <x:c r="H11" s="20" t="str">
        <x:v>Version</x:v>
      </x:c>
    </x:row>
    <x:row r="12" ht="24" hidden="0" customHeight="1">
      <x:c r="A12" s="9" t="str">
        <x:v>Partner Scorecard</x:v>
      </x:c>
      <x:c r="B12" s="9" t="str">
        <x:v>Where is partner performance creating operational risk?</x:v>
      </x:c>
      <x:c r="C12" s="9" t="str">
        <x:v>Targets, actuals, evidence</x:v>
      </x:c>
      <x:c r="D12" s="9" t="str">
        <x:v>Weighted performance and action priorities</x:v>
      </x:c>
      <x:c r="E12" s="9" t="str">
        <x:v>Observed / validated / projected</x:v>
      </x:c>
      <x:c r="F12" s="9" t="str">
        <x:v>Ready</x:v>
      </x:c>
      <x:c r="G12" s="9" t="str">
        <x:v>User</x:v>
      </x:c>
      <x:c r="H12" s="9" t="str">
        <x:v>0.1</x:v>
      </x:c>
    </x:row>
    <x:row r="13" ht="24" hidden="0" customHeight="1">
      <x:c r="A13" s="9" t="str">
        <x:v>Metric Validation</x:v>
      </x:c>
      <x:c r="B13" s="9" t="str">
        <x:v>Is a metric reliable enough to drive action or reporting?</x:v>
      </x:c>
      <x:c r="C13" s="9" t="str">
        <x:v>Sample audit and lineage</x:v>
      </x:c>
      <x:c r="D13" s="9" t="str">
        <x:v>Ready / directional / incomplete</x:v>
      </x:c>
      <x:c r="E13" s="9" t="str">
        <x:v>Validation evidence</x:v>
      </x:c>
      <x:c r="F13" s="9" t="str">
        <x:v>Ready</x:v>
      </x:c>
      <x:c r="G13" s="9" t="str">
        <x:v>Data owner</x:v>
      </x:c>
      <x:c r="H13" s="9" t="str">
        <x:v>0.1</x:v>
      </x:c>
    </x:row>
    <x:row r="14" ht="24" hidden="0" customHeight="1">
      <x:c r="A14" s="9" t="str">
        <x:v>ROI Calculator</x:v>
      </x:c>
      <x:c r="B14" s="9" t="str">
        <x:v>Does the proposed change create measurable net benefit?</x:v>
      </x:c>
      <x:c r="C14" s="9" t="str">
        <x:v>Volume, time, costs, adoption</x:v>
      </x:c>
      <x:c r="D14" s="9" t="str">
        <x:v>Annual benefit, ROI and payback</x:v>
      </x:c>
      <x:c r="E14" s="9" t="str">
        <x:v>Projected until validated</x:v>
      </x:c>
      <x:c r="F14" s="9" t="str">
        <x:v>Ready</x:v>
      </x:c>
      <x:c r="G14" s="9" t="str">
        <x:v>Pilot owner</x:v>
      </x:c>
      <x:c r="H14" s="9" t="str">
        <x:v>0.1</x:v>
      </x:c>
    </x:row>
    <x:row r="15" ht="15" hidden="0" customHeight="1">
      <x:c r="A15" s="9" t="str">
        <x:v>Maturity Assessment</x:v>
      </x:c>
      <x:c r="B15" s="9" t="str">
        <x:v>Which operating capabilities should improve first?</x:v>
      </x:c>
      <x:c r="C15" s="9" t="str">
        <x:v>Evidence-backed ratings</x:v>
      </x:c>
      <x:c r="D15" s="9" t="str">
        <x:v>Maturity level and priority gaps</x:v>
      </x:c>
      <x:c r="E15" s="9" t="str">
        <x:v>Self-assessed</x:v>
      </x:c>
      <x:c r="F15" s="9" t="str">
        <x:v>Ready</x:v>
      </x:c>
      <x:c r="G15" s="9" t="str">
        <x:v>Program lead</x:v>
      </x:c>
      <x:c r="H15" s="9" t="str">
        <x:v>0.1</x:v>
      </x:c>
    </x:row>
    <x:row r="16" ht="15" hidden="0" customHeight="1">
      <x:c r="A16" s="9" t="str">
        <x:v>Pilot Charter</x:v>
      </x:c>
      <x:c r="B16" s="9" t="str">
        <x:v>Is the pilot sufficiently defined and governed?</x:v>
      </x:c>
      <x:c r="C16" s="9" t="str">
        <x:v>Scope, baseline, owners, gates</x:v>
      </x:c>
      <x:c r="D16" s="9" t="str">
        <x:v>Execution-ready charter</x:v>
      </x:c>
      <x:c r="E16" s="9" t="str">
        <x:v>Planned</x:v>
      </x:c>
      <x:c r="F16" s="9" t="str">
        <x:v>Pilot sponsor</x:v>
      </x:c>
      <x:c r="G16" s="9" t="str">
        <x:v>Ready</x:v>
      </x:c>
      <x:c r="H16" s="9" t="str">
        <x:v>0.1</x:v>
      </x:c>
    </x:row>
    <x:row r="17" ht="24" hidden="0" customHeight="1">
      <x:c r="A17" s="21" t="str">
        <x:v>Pilot Evaluation</x:v>
      </x:c>
      <x:c r="B17" s="21" t="str">
        <x:v>Did the pilot generate credible improvement?</x:v>
      </x:c>
      <x:c r="C17" s="21" t="str">
        <x:v>Baseline, pilot results, sample size</x:v>
      </x:c>
      <x:c r="D17" s="21" t="str">
        <x:v>Validated / directional / no demonstrated gain</x:v>
      </x:c>
      <x:c r="E17" s="21" t="str">
        <x:v>Observed / validated</x:v>
      </x:c>
      <x:c r="F17" s="21" t="str">
        <x:v>Ready</x:v>
      </x:c>
      <x:c r="G17" s="21" t="str">
        <x:v>Evaluator</x:v>
      </x:c>
      <x:c r="H17" s="21" t="str">
        <x:v>0.1</x:v>
      </x:c>
    </x:row>
    <x:row r="18" ht="15" hidden="0" customHeight="1">
      <x:c r="A18" s="9"/>
      <x:c r="B18" s="9"/>
      <x:c r="C18" s="9"/>
      <x:c r="D18" s="9"/>
      <x:c r="E18" s="9"/>
      <x:c r="F18" s="9"/>
      <x:c r="G18" s="9"/>
      <x:c r="H18" s="9"/>
    </x:row>
    <x:row r="19" ht="15" hidden="0" customHeight="1">
      <x:c r="A19" s="9"/>
      <x:c r="B19" s="9"/>
      <x:c r="C19" s="9"/>
      <x:c r="D19" s="9"/>
      <x:c r="E19" s="9"/>
      <x:c r="F19" s="9"/>
      <x:c r="G19" s="9"/>
      <x:c r="H19" s="9"/>
    </x:row>
    <x:row r="20" ht="15" hidden="0" customHeight="1">
      <x:c r="A20" s="56" t="str">
        <x:v>Evidence classifications</x:v>
      </x:c>
      <x:c r="B20" s="56"/>
      <x:c r="C20" s="56"/>
      <x:c r="D20" s="56"/>
      <x:c r="E20" s="56"/>
      <x:c r="F20" s="56"/>
      <x:c r="G20" s="56"/>
      <x:c r="H20" s="56"/>
    </x:row>
    <x:row r="21" ht="15" hidden="0" customHeight="1">
      <x:c r="A21" s="18" t="str">
        <x:v>Classification</x:v>
      </x:c>
      <x:c r="B21" s="20" t="str">
        <x:v>Definition</x:v>
      </x:c>
      <x:c r="C21" s="9"/>
      <x:c r="D21" s="24" t="str">
        <x:v>Responsible-use rule
Use automation to support diagnosis and prioritization. Keep humans accountable for consequential decisions, exceptions, approval gates, and corrective action. Never present projected benefits as realized results.</x:v>
      </x:c>
      <x:c r="E21" s="24"/>
      <x:c r="F21" s="24"/>
      <x:c r="G21" s="24"/>
      <x:c r="H21" s="24"/>
    </x:row>
    <x:row r="22" ht="24" hidden="0" customHeight="1">
      <x:c r="A22" s="9" t="str">
        <x:v>Projected</x:v>
      </x:c>
      <x:c r="B22" s="9" t="str">
        <x:v>Modeled or estimated; not yet observed in operation.</x:v>
      </x:c>
      <x:c r="C22" s="9"/>
      <x:c r="D22" s="24"/>
      <x:c r="E22" s="24"/>
      <x:c r="F22" s="24"/>
      <x:c r="G22" s="24"/>
      <x:c r="H22" s="24"/>
    </x:row>
    <x:row r="23" ht="24" hidden="0" customHeight="1">
      <x:c r="A23" s="9" t="str">
        <x:v>Observed</x:v>
      </x:c>
      <x:c r="B23" s="9" t="str">
        <x:v>Measured during actual use, but not independently checked.</x:v>
      </x:c>
      <x:c r="C23" s="9"/>
      <x:c r="D23" s="24"/>
      <x:c r="E23" s="24"/>
      <x:c r="F23" s="24"/>
      <x:c r="G23" s="24"/>
      <x:c r="H23" s="24"/>
    </x:row>
    <x:row r="24" ht="24" hidden="0" customHeight="1">
      <x:c r="A24" s="21" t="str">
        <x:v>Validated</x:v>
      </x:c>
      <x:c r="B24" s="21" t="str">
        <x:v>Checked against source evidence or confirmed by an independent party.</x:v>
      </x:c>
      <x:c r="C24" s="9"/>
      <x:c r="D24" s="24"/>
      <x:c r="E24" s="24"/>
      <x:c r="F24" s="24"/>
      <x:c r="G24" s="24"/>
      <x:c r="H24" s="24"/>
    </x:row>
    <x:row r="25" ht="15" hidden="0" customHeight="1">
      <x:c r="A25" s="9"/>
      <x:c r="B25" s="9"/>
      <x:c r="C25" s="9"/>
      <x:c r="D25" s="9"/>
      <x:c r="E25" s="9"/>
      <x:c r="F25" s="9"/>
      <x:c r="G25" s="9"/>
      <x:c r="H25" s="9"/>
    </x:row>
    <x:row r="26" ht="15" hidden="0" customHeight="1">
      <x:c r="A26" s="9"/>
      <x:c r="B26" s="9"/>
      <x:c r="C26" s="9"/>
      <x:c r="D26" s="9"/>
      <x:c r="E26" s="9"/>
      <x:c r="F26" s="9"/>
      <x:c r="G26" s="9"/>
      <x:c r="H26" s="9"/>
    </x:row>
    <x:row r="27">
      <x:c r="A27" s="27" t="str">
        <x:v>Public-use note: All prepopulated examples are fictional and synthetic. Replace yellow cells with your organization's information. Do not enter confidential, personal, security-sensitive, or export-controlled information into a public copy.</x:v>
      </x:c>
      <x:c r="B27" s="27"/>
      <x:c r="C27" s="27"/>
      <x:c r="D27" s="27"/>
      <x:c r="E27" s="27"/>
      <x:c r="F27" s="27"/>
      <x:c r="G27" s="27"/>
      <x:c r="H27" s="27"/>
    </x:row>
    <x:row r="28">
      <x:c r="A28" s="27"/>
      <x:c r="B28" s="27"/>
      <x:c r="C28" s="27"/>
      <x:c r="D28" s="27"/>
      <x:c r="E28" s="27"/>
      <x:c r="F28" s="27"/>
      <x:c r="G28" s="27"/>
      <x:c r="H28" s="27"/>
    </x:row>
    <x:row r="29">
      <x:c r="A29" s="27"/>
      <x:c r="B29" s="27"/>
      <x:c r="C29" s="27"/>
      <x:c r="D29" s="27"/>
      <x:c r="E29" s="27"/>
      <x:c r="F29" s="27"/>
      <x:c r="G29" s="27"/>
      <x:c r="H29" s="27"/>
    </x:row>
    <x:row r="30" ht="15" hidden="0" customHeight="1">
      <x:c r="A30" s="9"/>
      <x:c r="B30" s="9"/>
      <x:c r="C30" s="9"/>
      <x:c r="D30" s="9"/>
      <x:c r="E30" s="9"/>
      <x:c r="F30" s="9"/>
      <x:c r="G30" s="9"/>
      <x:c r="H30" s="9"/>
    </x:row>
    <x:row r="31" ht="15" hidden="0" customHeight="1">
      <x:c r="A31" s="9"/>
      <x:c r="B31" s="9"/>
      <x:c r="C31" s="9"/>
      <x:c r="D31" s="9"/>
      <x:c r="E31" s="9"/>
      <x:c r="F31" s="9"/>
      <x:c r="G31" s="9"/>
      <x:c r="H31" s="9"/>
    </x:row>
    <x:row r="32" ht="15" hidden="0" customHeight="1">
      <x:c r="A32" s="9"/>
      <x:c r="B32" s="9"/>
      <x:c r="C32" s="9"/>
      <x:c r="D32" s="9"/>
      <x:c r="E32" s="9"/>
      <x:c r="F32" s="9"/>
      <x:c r="G32" s="9"/>
      <x:c r="H32" s="9"/>
    </x:row>
  </x:sheetData>
  <x:mergeCells>
    <x:mergeCell ref="A2:H2"/>
    <x:mergeCell ref="A3:H3"/>
    <x:mergeCell ref="A6:H6"/>
    <x:mergeCell ref="A7:H9"/>
    <x:mergeCell ref="A20:H20"/>
    <x:mergeCell ref="D21:H24"/>
    <x:mergeCell ref="A27:H29"/>
  </x:mergeCells>
  <x:pageMargins left="0.7" right="0.7" top="0.75" bottom="0.75" header="0.3" footer="0.3"/>
</x:worksheet>
</file>

<file path=xl/worksheets/sheet2.xml><?xml version="1.0" encoding="utf-8"?>
<x:worksheet xmlns:x="http://schemas.openxmlformats.org/spreadsheetml/2006/main">
  <x:sheetPr>
    <x:tabColor rgb="FF2E5E87"/>
  </x:sheetPr>
  <x:sheetViews>
    <x:sheetView showGridLines="0" workbookViewId="0">
      <x:pane ySplit="12" topLeftCell="A13" activePane="bottomLeft" state="frozen"/>
    </x:sheetView>
  </x:sheetViews>
  <x:sheetFormatPr defaultRowHeight="15"/>
  <x:cols>
    <x:col min="1" max="1" width="15" hidden="0" customWidth="1"/>
    <x:col min="2" max="2" width="28" hidden="0" customWidth="1"/>
    <x:col min="3" max="3" width="10" hidden="0" customWidth="1"/>
    <x:col min="4" max="4" width="18" hidden="0" customWidth="1"/>
    <x:col min="5" max="5" width="12" hidden="0" customWidth="1"/>
    <x:col min="6" max="6" width="12" hidden="0" customWidth="1"/>
    <x:col min="7" max="7" width="22" hidden="0" customWidth="1"/>
    <x:col min="8" max="8" width="14" hidden="0" customWidth="1"/>
    <x:col min="9" max="9" width="14" hidden="0" customWidth="1"/>
    <x:col min="10" max="10" width="12" hidden="0" customWidth="1"/>
    <x:col min="11" max="11" width="18" hidden="0" customWidth="1"/>
    <x:col min="12" max="12" width="38" hidden="0" customWidth="1"/>
  </x:cols>
  <x:sheetData>
    <x:row r="1" ht="15" hidden="0" customHeight="1">
      <x:c r="A1" s="9"/>
      <x:c r="B1" s="9"/>
      <x:c r="C1" s="9"/>
      <x:c r="D1" s="9"/>
      <x:c r="E1" s="9"/>
      <x:c r="F1" s="9"/>
      <x:c r="G1" s="9"/>
      <x:c r="H1" s="9"/>
      <x:c r="I1" s="9"/>
      <x:c r="J1" s="9"/>
      <x:c r="K1" s="9"/>
      <x:c r="L1" s="9"/>
    </x:row>
    <x:row r="2" ht="24" hidden="0" customHeight="1">
      <x:c r="A2" s="53" t="str">
        <x:v>Partner Performance Scorecard</x:v>
      </x:c>
      <x:c r="B2" s="9"/>
      <x:c r="C2" s="9"/>
      <x:c r="D2" s="9"/>
      <x:c r="E2" s="9"/>
      <x:c r="F2" s="9"/>
      <x:c r="G2" s="9"/>
      <x:c r="H2" s="9"/>
      <x:c r="I2" s="9"/>
      <x:c r="J2" s="9"/>
      <x:c r="K2" s="9"/>
      <x:c r="L2" s="9"/>
    </x:row>
    <x:row r="3" ht="20" hidden="0" customHeight="1">
      <x:c r="A3" s="54" t="str">
        <x:v>Synthetic robotics-operations example. Yellow cells are editable.</x:v>
      </x:c>
      <x:c r="B3" s="9"/>
      <x:c r="C3" s="9"/>
      <x:c r="D3" s="9"/>
      <x:c r="E3" s="9"/>
      <x:c r="F3" s="9"/>
      <x:c r="G3" s="9"/>
      <x:c r="H3" s="9"/>
      <x:c r="I3" s="9"/>
      <x:c r="J3" s="9"/>
      <x:c r="K3" s="9"/>
      <x:c r="L3" s="9"/>
    </x:row>
    <x:row r="4" ht="15" hidden="0" customHeight="1">
      <x:c r="A4" s="55"/>
      <x:c r="B4" s="55"/>
      <x:c r="C4" s="55"/>
      <x:c r="D4" s="55"/>
      <x:c r="E4" s="55"/>
      <x:c r="F4" s="55"/>
      <x:c r="G4" s="55"/>
      <x:c r="H4" s="55"/>
      <x:c r="I4" s="55"/>
      <x:c r="J4" s="55"/>
      <x:c r="K4" s="55"/>
      <x:c r="L4" s="55"/>
    </x:row>
    <x:row r="5" ht="15" hidden="0" customHeight="1">
      <x:c r="A5" s="9"/>
      <x:c r="B5" s="9"/>
      <x:c r="C5" s="9"/>
      <x:c r="D5" s="9"/>
      <x:c r="E5" s="9"/>
      <x:c r="F5" s="9"/>
      <x:c r="G5" s="9"/>
      <x:c r="H5" s="9"/>
      <x:c r="I5" s="9"/>
      <x:c r="J5" s="9"/>
      <x:c r="K5" s="9"/>
      <x:c r="L5" s="9"/>
    </x:row>
    <x:row r="6" ht="24" hidden="0" customHeight="1">
      <x:c r="A6" s="57" t="str">
        <x:v>Overall weighted score</x:v>
      </x:c>
      <x:c r="B6" s="58" t="n">
        <x:f>SUM(I13:I19)</x:f>
        <x:v>0.8762639010947282</x:v>
      </x:c>
      <x:c r="C6" s="9"/>
      <x:c r="D6" s="9"/>
      <x:c r="E6" s="9"/>
      <x:c r="F6" s="9"/>
      <x:c r="G6" s="9"/>
      <x:c r="H6" s="9"/>
      <x:c r="I6" s="9"/>
      <x:c r="J6" s="9"/>
      <x:c r="K6" s="9"/>
      <x:c r="L6" s="9"/>
    </x:row>
    <x:row r="7" ht="15" hidden="0" customHeight="1">
      <x:c r="A7" s="57" t="str">
        <x:v>Evidence coverage</x:v>
      </x:c>
      <x:c r="B7" s="58" t="n">
        <x:f>COUNTIF(G13:G19,"&lt;&gt;Missing")/COUNTA(G13:G19)</x:f>
        <x:v>1</x:v>
      </x:c>
      <x:c r="C7" s="9"/>
      <x:c r="D7" s="9"/>
      <x:c r="E7" s="9"/>
      <x:c r="F7" s="9"/>
      <x:c r="G7" s="9"/>
      <x:c r="H7" s="9"/>
      <x:c r="I7" s="9"/>
      <x:c r="J7" s="9"/>
      <x:c r="K7" s="9"/>
      <x:c r="L7" s="9"/>
    </x:row>
    <x:row r="8" ht="15" hidden="0" customHeight="1">
      <x:c r="A8" s="57" t="str">
        <x:v>Critical gaps</x:v>
      </x:c>
      <x:c r="B8" s="59" t="n">
        <x:f>COUNTIF(J13:J19,"Critical")</x:f>
        <x:v>0</x:v>
      </x:c>
      <x:c r="C8" s="9"/>
      <x:c r="D8" s="9"/>
      <x:c r="E8" s="9"/>
      <x:c r="F8" s="9"/>
      <x:c r="G8" s="9"/>
      <x:c r="H8" s="9"/>
      <x:c r="I8" s="9"/>
      <x:c r="J8" s="9"/>
      <x:c r="K8" s="9"/>
      <x:c r="L8" s="9"/>
    </x:row>
    <x:row r="9" ht="15" hidden="0" customHeight="1">
      <x:c r="A9" s="57" t="str">
        <x:v>Decision</x:v>
      </x:c>
      <x:c r="B9" s="59" t="str">
        <x:f>IF(OR(B6&lt;80%,B7&lt;80%,B8&gt;0),"Improve before scaling","Proceed with controls")</x:f>
        <x:v>Proceed with controls</x:v>
      </x:c>
      <x:c r="C9" s="9"/>
      <x:c r="D9" s="9"/>
      <x:c r="E9" s="9"/>
      <x:c r="F9" s="9"/>
      <x:c r="G9" s="9"/>
      <x:c r="H9" s="9"/>
      <x:c r="I9" s="9"/>
      <x:c r="J9" s="9"/>
      <x:c r="K9" s="9"/>
      <x:c r="L9" s="9"/>
    </x:row>
    <x:row r="10" ht="15" hidden="0" customHeight="1">
      <x:c r="A10" s="9"/>
      <x:c r="B10" s="9"/>
      <x:c r="C10" s="9"/>
      <x:c r="D10" s="9"/>
      <x:c r="E10" s="9"/>
      <x:c r="F10" s="9"/>
      <x:c r="G10" s="9"/>
      <x:c r="H10" s="9"/>
      <x:c r="I10" s="9"/>
      <x:c r="J10" s="9"/>
      <x:c r="K10" s="9"/>
      <x:c r="L10" s="9"/>
    </x:row>
    <x:row r="11" ht="15" hidden="0" customHeight="1">
      <x:c r="A11" s="18" t="str">
        <x:v>Category</x:v>
      </x:c>
      <x:c r="B11" s="19" t="str">
        <x:v>Metric</x:v>
      </x:c>
      <x:c r="C11" s="19" t="str">
        <x:v>Weight</x:v>
      </x:c>
      <x:c r="D11" s="19" t="str">
        <x:v>Direction</x:v>
      </x:c>
      <x:c r="E11" s="19" t="str">
        <x:v>Target</x:v>
      </x:c>
      <x:c r="F11" s="19" t="str">
        <x:v>Actual</x:v>
      </x:c>
      <x:c r="G11" s="19" t="str">
        <x:v>Evidence</x:v>
      </x:c>
      <x:c r="H11" s="19" t="str">
        <x:v>Evidence class</x:v>
      </x:c>
      <x:c r="I11" s="19" t="str">
        <x:v>Weighted score</x:v>
      </x:c>
      <x:c r="J11" s="19" t="str">
        <x:v>Risk</x:v>
      </x:c>
      <x:c r="K11" s="19" t="str">
        <x:v>Owner</x:v>
      </x:c>
      <x:c r="L11" s="20" t="str">
        <x:v>Corrective action</x:v>
      </x:c>
    </x:row>
    <x:row r="12" ht="15" hidden="0" customHeight="1">
      <x:c r="A12" s="33" t="str">
        <x:v>Use one reporting period and comparable definitions. Weighted score measures target attainment; evidence coverage shows whether the result is supportable.</x:v>
      </x:c>
      <x:c r="B12" s="9"/>
      <x:c r="C12" s="9"/>
      <x:c r="D12" s="9"/>
      <x:c r="E12" s="9"/>
      <x:c r="F12" s="9"/>
      <x:c r="G12" s="9"/>
      <x:c r="H12" s="9"/>
      <x:c r="I12" s="9"/>
      <x:c r="J12" s="9"/>
      <x:c r="K12" s="9"/>
      <x:c r="L12" s="9"/>
    </x:row>
    <x:row r="13" ht="15" hidden="0" customHeight="1">
      <x:c r="A13" s="9" t="str">
        <x:v>Reliability</x:v>
      </x:c>
      <x:c r="B13" s="9" t="str">
        <x:v>Successful mission completion</x:v>
      </x:c>
      <x:c r="C13" s="37" t="n">
        <x:v>0.2</x:v>
      </x:c>
      <x:c r="D13" s="38" t="str">
        <x:v>Higher is better</x:v>
      </x:c>
      <x:c r="E13" s="39" t="n">
        <x:v>0.98</x:v>
      </x:c>
      <x:c r="F13" s="39" t="n">
        <x:v>0.94</x:v>
      </x:c>
      <x:c r="G13" s="38" t="str">
        <x:v>Operations log</x:v>
      </x:c>
      <x:c r="H13" s="38" t="str">
        <x:v>Observed</x:v>
      </x:c>
      <x:c r="I13" s="40" t="n">
        <x:f>IF(OR(E13="",F13=""),"",C13*MAX(0,MIN(1,IF(D13="Higher is better",F13/E13,E13/F13))) )</x:f>
        <x:v>0.19183673469387755</x:v>
      </x:c>
      <x:c r="J13" s="9" t="str">
        <x:f>IF(I13="","Missing",IF(OR(I13/C13&lt;70%,AND(H13="Projected",C13&gt;=15%)),"Critical",IF(I13/C13&lt;90%,"Watch","On track")))</x:f>
        <x:v>On track</x:v>
      </x:c>
      <x:c r="K13" s="38" t="str">
        <x:v>Operations lead</x:v>
      </x:c>
      <x:c r="L13" s="38" t="str">
        <x:v>Analyze failure modes and retry logic</x:v>
      </x:c>
    </x:row>
    <x:row r="14" ht="15" hidden="0" customHeight="1">
      <x:c r="A14" s="9" t="str">
        <x:v>Data quality</x:v>
      </x:c>
      <x:c r="B14" s="9" t="str">
        <x:v>Actionable alert precision</x:v>
      </x:c>
      <x:c r="C14" s="37" t="n">
        <x:v>0.2</x:v>
      </x:c>
      <x:c r="D14" s="38" t="str">
        <x:v>Higher is better</x:v>
      </x:c>
      <x:c r="E14" s="39" t="n">
        <x:v>0.9</x:v>
      </x:c>
      <x:c r="F14" s="39" t="n">
        <x:v>0.72</x:v>
      </x:c>
      <x:c r="G14" s="38" t="str">
        <x:v>50-alert sample audit</x:v>
      </x:c>
      <x:c r="H14" s="38" t="str">
        <x:v>Validated</x:v>
      </x:c>
      <x:c r="I14" s="40" t="n">
        <x:f>IF(OR(E14="",F14=""),"",C14*MAX(0,MIN(1,IF(D14="Higher is better",F14/E14,E14/F14))) )</x:f>
        <x:v>0.16</x:v>
      </x:c>
      <x:c r="J14" s="9" t="str">
        <x:f>IF(I14="","Missing",IF(OR(I14/C14&lt;70%,AND(H14="Projected",C14&gt;=15%)),"Critical",IF(I14/C14&lt;90%,"Watch","On track")))</x:f>
        <x:v>Watch</x:v>
      </x:c>
      <x:c r="K14" s="38" t="str">
        <x:v>Data owner</x:v>
      </x:c>
      <x:c r="L14" s="38" t="str">
        <x:v>Reduce false positives before expansion</x:v>
      </x:c>
    </x:row>
    <x:row r="15" ht="15" hidden="0" customHeight="1">
      <x:c r="A15" s="9" t="str">
        <x:v>Timeliness</x:v>
      </x:c>
      <x:c r="B15" s="9" t="str">
        <x:v>Incidents reviewed within SLA</x:v>
      </x:c>
      <x:c r="C15" s="37" t="n">
        <x:v>0.15</x:v>
      </x:c>
      <x:c r="D15" s="38" t="str">
        <x:v>Higher is better</x:v>
      </x:c>
      <x:c r="E15" s="39" t="n">
        <x:v>0.95</x:v>
      </x:c>
      <x:c r="F15" s="39" t="n">
        <x:v>0.88</x:v>
      </x:c>
      <x:c r="G15" s="38" t="str">
        <x:v>Ticket records</x:v>
      </x:c>
      <x:c r="H15" s="38" t="str">
        <x:v>Observed</x:v>
      </x:c>
      <x:c r="I15" s="40" t="n">
        <x:f>IF(OR(E15="",F15=""),"",C15*MAX(0,MIN(1,IF(D15="Higher is better",F15/E15,E15/F15))) )</x:f>
        <x:v>0.13894736842105262</x:v>
      </x:c>
      <x:c r="J15" s="9" t="str">
        <x:f>IF(I15="","Missing",IF(OR(I15/C15&lt;70%,AND(H15="Projected",C15&gt;=15%)),"Critical",IF(I15/C15&lt;90%,"Watch","On track")))</x:f>
        <x:v>On track</x:v>
      </x:c>
      <x:c r="K15" s="38" t="str">
        <x:v>Support lead</x:v>
      </x:c>
      <x:c r="L15" s="38" t="str">
        <x:v>Clarify severity and escalation rules</x:v>
      </x:c>
    </x:row>
    <x:row r="16" ht="15" hidden="0" customHeight="1">
      <x:c r="A16" s="9" t="str">
        <x:v>Cost</x:v>
      </x:c>
      <x:c r="B16" s="9" t="str">
        <x:v>Operator minutes per event</x:v>
      </x:c>
      <x:c r="C16" s="37" t="n">
        <x:v>0.15</x:v>
      </x:c>
      <x:c r="D16" s="38" t="str">
        <x:v>Lower is better</x:v>
      </x:c>
      <x:c r="E16" s="41" t="n">
        <x:v>8</x:v>
      </x:c>
      <x:c r="F16" s="41" t="n">
        <x:v>11</x:v>
      </x:c>
      <x:c r="G16" s="38" t="str">
        <x:v>Time study</x:v>
      </x:c>
      <x:c r="H16" s="38" t="str">
        <x:v>Observed</x:v>
      </x:c>
      <x:c r="I16" s="40" t="n">
        <x:f>IF(OR(E16="",F16=""),"",C16*MAX(0,MIN(1,IF(D16="Higher is better",F16/E16,E16/F16))) )</x:f>
        <x:v>0.10909090909090909</x:v>
      </x:c>
      <x:c r="J16" s="9" t="str">
        <x:f>IF(I16="","Missing",IF(OR(I16/C16&lt;70%,AND(H16="Projected",C16&gt;=15%)),"Critical",IF(I16/C16&lt;90%,"Watch","On track")))</x:f>
        <x:v>Watch</x:v>
      </x:c>
      <x:c r="K16" s="38" t="str">
        <x:v>Program lead</x:v>
      </x:c>
      <x:c r="L16" s="38" t="str">
        <x:v>Streamline evidence review workflow</x:v>
      </x:c>
    </x:row>
    <x:row r="17" ht="15" hidden="0" customHeight="1">
      <x:c r="A17" s="9" t="str">
        <x:v>Governance</x:v>
      </x:c>
      <x:c r="B17" s="9" t="str">
        <x:v>Corrective actions closed on time</x:v>
      </x:c>
      <x:c r="C17" s="37" t="n">
        <x:v>0.1</x:v>
      </x:c>
      <x:c r="D17" s="38" t="str">
        <x:v>Higher is better</x:v>
      </x:c>
      <x:c r="E17" s="39" t="n">
        <x:v>0.9</x:v>
      </x:c>
      <x:c r="F17" s="39" t="n">
        <x:v>0.8</x:v>
      </x:c>
      <x:c r="G17" s="38" t="str">
        <x:v>Action tracker</x:v>
      </x:c>
      <x:c r="H17" s="38" t="str">
        <x:v>Observed</x:v>
      </x:c>
      <x:c r="I17" s="40" t="n">
        <x:f>IF(OR(E17="",F17=""),"",C17*MAX(0,MIN(1,IF(D17="Higher is better",F17/E17,E17/F17))) )</x:f>
        <x:v>0.0888888888888889</x:v>
      </x:c>
      <x:c r="J17" s="9" t="str">
        <x:f>IF(I17="","Missing",IF(OR(I17/C17&lt;70%,AND(H17="Projected",C17&gt;=15%)),"Critical",IF(I17/C17&lt;90%,"Watch","On track")))</x:f>
        <x:v>Watch</x:v>
      </x:c>
      <x:c r="K17" s="38" t="str">
        <x:v>Pilot owner</x:v>
      </x:c>
      <x:c r="L17" s="38" t="str">
        <x:v>Assign owners and due dates</x:v>
      </x:c>
    </x:row>
    <x:row r="18" ht="24" hidden="0" customHeight="1">
      <x:c r="A18" s="9" t="str">
        <x:v>Responsible use</x:v>
      </x:c>
      <x:c r="B18" s="9" t="str">
        <x:v>High-risk decisions receiving human review</x:v>
      </x:c>
      <x:c r="C18" s="37" t="n">
        <x:v>0.15</x:v>
      </x:c>
      <x:c r="D18" s="38" t="str">
        <x:v>Higher is better</x:v>
      </x:c>
      <x:c r="E18" s="39" t="n">
        <x:v>1</x:v>
      </x:c>
      <x:c r="F18" s="39" t="n">
        <x:v>1</x:v>
      </x:c>
      <x:c r="G18" s="38" t="str">
        <x:v>Review log</x:v>
      </x:c>
      <x:c r="H18" s="38" t="str">
        <x:v>Validated</x:v>
      </x:c>
      <x:c r="I18" s="40" t="n">
        <x:f>IF(OR(E18="",F18=""),"",C18*MAX(0,MIN(1,IF(D18="Higher is better",F18/E18,E18/F18))) )</x:f>
        <x:v>0.15</x:v>
      </x:c>
      <x:c r="J18" s="9" t="str">
        <x:f>IF(I18="","Missing",IF(OR(I18/C18&lt;70%,AND(H18="Projected",C18&gt;=15%)),"Critical",IF(I18/C18&lt;90%,"Watch","On track")))</x:f>
        <x:v>On track</x:v>
      </x:c>
      <x:c r="K18" s="38" t="str">
        <x:v>Safety owner</x:v>
      </x:c>
      <x:c r="L18" s="38" t="str">
        <x:v>Maintain approval gate</x:v>
      </x:c>
    </x:row>
    <x:row r="19" ht="15" hidden="0" customHeight="1">
      <x:c r="A19" s="21" t="str">
        <x:v>Improvement</x:v>
      </x:c>
      <x:c r="B19" s="21" t="str">
        <x:v>Repeat incidents with verified prevention</x:v>
      </x:c>
      <x:c r="C19" s="42" t="n">
        <x:v>0.05</x:v>
      </x:c>
      <x:c r="D19" s="43" t="str">
        <x:v>Higher is better</x:v>
      </x:c>
      <x:c r="E19" s="44" t="n">
        <x:v>0.8</x:v>
      </x:c>
      <x:c r="F19" s="44" t="n">
        <x:v>0.6</x:v>
      </x:c>
      <x:c r="G19" s="43" t="str">
        <x:v>Incident analysis</x:v>
      </x:c>
      <x:c r="H19" s="43" t="str">
        <x:v>Projected</x:v>
      </x:c>
      <x:c r="I19" s="45" t="n">
        <x:f>IF(OR(E19="",F19=""),"",C19*MAX(0,MIN(1,IF(D19="Higher is better",F19/E19,E19/F19))) )</x:f>
        <x:v>0.0375</x:v>
      </x:c>
      <x:c r="J19" s="21" t="str">
        <x:f>IF(I19="","Missing",IF(OR(I19/C19&lt;70%,AND(H19="Projected",C19&gt;=15%)),"Critical",IF(I19/C19&lt;90%,"Watch","On track")))</x:f>
        <x:v>Watch</x:v>
      </x:c>
      <x:c r="K19" s="43" t="str">
        <x:v>Engineering lead</x:v>
      </x:c>
      <x:c r="L19" s="43" t="str">
        <x:v>Validate recurrence after remediation</x:v>
      </x:c>
    </x:row>
    <x:row r="20" ht="15" hidden="0" customHeight="1">
      <x:c r="A20" s="9"/>
      <x:c r="B20" s="9"/>
      <x:c r="C20" s="9"/>
      <x:c r="D20" s="9"/>
      <x:c r="E20" s="9"/>
      <x:c r="F20" s="9"/>
      <x:c r="G20" s="9"/>
      <x:c r="H20" s="9"/>
      <x:c r="I20" s="9"/>
      <x:c r="J20" s="9"/>
      <x:c r="K20" s="9"/>
      <x:c r="L20" s="9"/>
    </x:row>
    <x:row r="21">
      <x:c r="A21" s="24" t="str">
        <x:v>Interpretation: Scores below target identify performance gaps. Evidence classification is separate from performance. A high projected score is still uncertain until observed or validated. Do not average away a critical safety, governance, or data-quality gap.</x:v>
      </x:c>
      <x:c r="B21" s="24"/>
      <x:c r="C21" s="24"/>
      <x:c r="D21" s="24"/>
      <x:c r="E21" s="24"/>
      <x:c r="F21" s="24"/>
      <x:c r="G21" s="24"/>
      <x:c r="H21" s="24"/>
      <x:c r="I21" s="24"/>
      <x:c r="J21" s="24"/>
      <x:c r="K21" s="24"/>
      <x:c r="L21" s="24"/>
    </x:row>
    <x:row r="22">
      <x:c r="A22" s="24"/>
      <x:c r="B22" s="24"/>
      <x:c r="C22" s="24"/>
      <x:c r="D22" s="24"/>
      <x:c r="E22" s="24"/>
      <x:c r="F22" s="24"/>
      <x:c r="G22" s="24"/>
      <x:c r="H22" s="24"/>
      <x:c r="I22" s="24"/>
      <x:c r="J22" s="24"/>
      <x:c r="K22" s="24"/>
      <x:c r="L22" s="24"/>
    </x:row>
    <x:row r="23">
      <x:c r="A23" s="24"/>
      <x:c r="B23" s="24"/>
      <x:c r="C23" s="24"/>
      <x:c r="D23" s="24"/>
      <x:c r="E23" s="24"/>
      <x:c r="F23" s="24"/>
      <x:c r="G23" s="24"/>
      <x:c r="H23" s="24"/>
      <x:c r="I23" s="24"/>
      <x:c r="J23" s="24"/>
      <x:c r="K23" s="24"/>
      <x:c r="L23" s="24"/>
    </x:row>
    <x:row r="24" ht="15" hidden="0" customHeight="1">
      <x:c r="A24" s="9"/>
      <x:c r="B24" s="9"/>
      <x:c r="C24" s="9"/>
      <x:c r="D24" s="9"/>
      <x:c r="E24" s="9"/>
      <x:c r="F24" s="9"/>
      <x:c r="G24" s="9"/>
      <x:c r="H24" s="9"/>
      <x:c r="I24" s="9"/>
      <x:c r="J24" s="9"/>
      <x:c r="K24" s="9"/>
      <x:c r="L24" s="9"/>
    </x:row>
  </x:sheetData>
  <x:mergeCells>
    <x:mergeCell ref="A2:L2"/>
    <x:mergeCell ref="A3:L3"/>
    <x:mergeCell ref="A12:L12"/>
    <x:mergeCell ref="A21:L23"/>
  </x:mergeCells>
  <x:conditionalFormatting sqref="J13:J19">
    <x:cfRule type="containsText" dxfId="0" priority="1" operator="containsText" text="Critical"/>
    <x:cfRule type="containsText" dxfId="1" priority="2" operator="containsText" text="Watch"/>
    <x:cfRule type="containsText" dxfId="2" priority="3" operator="containsText" text="On track"/>
  </x:conditionalFormatting>
  <x:dataValidations count="2">
    <x:dataValidation type="list" sqref="D13:D19">
      <x:formula1>"Higher is better,Lower is better"</x:formula1>
    </x:dataValidation>
    <x:dataValidation type="list" sqref="H13:H19">
      <x:formula1>"Projected,Observed,Validated,Missing"</x:formula1>
    </x:dataValidation>
  </x:dataValidations>
  <x:pageMargins left="0.7" right="0.7" top="0.75" bottom="0.75" header="0.3" footer="0.3"/>
</x:worksheet>
</file>

<file path=xl/worksheets/sheet3.xml><?xml version="1.0" encoding="utf-8"?>
<x:worksheet xmlns:x="http://schemas.openxmlformats.org/spreadsheetml/2006/main">
  <x:sheetPr>
    <x:tabColor rgb="FF2E5E87"/>
  </x:sheetPr>
  <x:sheetViews>
    <x:sheetView showGridLines="0" workbookViewId="0">
      <x:pane ySplit="12" topLeftCell="A13" activePane="bottomLeft" state="frozen"/>
    </x:sheetView>
  </x:sheetViews>
  <x:sheetFormatPr defaultRowHeight="15"/>
  <x:cols>
    <x:col min="1" max="1" width="24" hidden="0" customWidth="1"/>
    <x:col min="2" max="2" width="31" hidden="0" customWidth="1"/>
    <x:col min="3" max="3" width="24" hidden="0" customWidth="1"/>
    <x:col min="4" max="4" width="18" hidden="0" customWidth="1"/>
    <x:col min="5" max="5" width="11" hidden="0" customWidth="1"/>
    <x:col min="6" max="6" width="12" hidden="0" customWidth="1"/>
    <x:col min="7" max="7" width="11" hidden="0" customWidth="1"/>
    <x:col min="8" max="8" width="12" hidden="0" customWidth="1"/>
    <x:col min="9" max="9" width="15" hidden="0" customWidth="1"/>
    <x:col min="10" max="10" width="15" hidden="0" customWidth="1"/>
    <x:col min="11" max="11" width="13" hidden="0" customWidth="1"/>
    <x:col min="12" max="12" width="13" hidden="0" customWidth="1"/>
    <x:col min="13" max="13" width="16" hidden="0" customWidth="1"/>
    <x:col min="14" max="14" width="38" hidden="0" customWidth="1"/>
  </x:cols>
  <x:sheetData>
    <x:row r="1" ht="15" hidden="0" customHeight="1">
      <x:c r="A1" s="9"/>
      <x:c r="B1" s="9"/>
      <x:c r="C1" s="9"/>
      <x:c r="D1" s="9"/>
      <x:c r="E1" s="9"/>
      <x:c r="F1" s="9"/>
      <x:c r="G1" s="9"/>
      <x:c r="H1" s="9"/>
      <x:c r="I1" s="9"/>
      <x:c r="J1" s="9"/>
      <x:c r="K1" s="9"/>
      <x:c r="L1" s="9"/>
      <x:c r="M1" s="9"/>
      <x:c r="N1" s="9"/>
    </x:row>
    <x:row r="2" ht="24" hidden="0" customHeight="1">
      <x:c r="A2" s="53" t="str">
        <x:v>Metric Validation and Reporting-Readiness Audit</x:v>
      </x:c>
      <x:c r="B2" s="9"/>
      <x:c r="C2" s="9"/>
      <x:c r="D2" s="9"/>
      <x:c r="E2" s="9"/>
      <x:c r="F2" s="9"/>
      <x:c r="G2" s="9"/>
      <x:c r="H2" s="9"/>
      <x:c r="I2" s="9"/>
      <x:c r="J2" s="9"/>
      <x:c r="K2" s="9"/>
      <x:c r="L2" s="9"/>
      <x:c r="M2" s="9"/>
      <x:c r="N2" s="9"/>
    </x:row>
    <x:row r="3" ht="20" hidden="0" customHeight="1">
      <x:c r="A3" s="54" t="str">
        <x:v>Use before a metric drives partner action, executive reporting, automation, or scale decisions.</x:v>
      </x:c>
      <x:c r="B3" s="9"/>
      <x:c r="C3" s="9"/>
      <x:c r="D3" s="9"/>
      <x:c r="E3" s="9"/>
      <x:c r="F3" s="9"/>
      <x:c r="G3" s="9"/>
      <x:c r="H3" s="9"/>
      <x:c r="I3" s="9"/>
      <x:c r="J3" s="9"/>
      <x:c r="K3" s="9"/>
      <x:c r="L3" s="9"/>
      <x:c r="M3" s="9"/>
      <x:c r="N3" s="9"/>
    </x:row>
    <x:row r="4" ht="15" hidden="0" customHeight="1">
      <x:c r="A4" s="55"/>
      <x:c r="B4" s="55"/>
      <x:c r="C4" s="55"/>
      <x:c r="D4" s="55"/>
      <x:c r="E4" s="55"/>
      <x:c r="F4" s="55"/>
      <x:c r="G4" s="55"/>
      <x:c r="H4" s="55"/>
      <x:c r="I4" s="55"/>
      <x:c r="J4" s="55"/>
      <x:c r="K4" s="55"/>
      <x:c r="L4" s="55"/>
      <x:c r="M4" s="55"/>
      <x:c r="N4" s="55"/>
    </x:row>
    <x:row r="5" ht="15" hidden="0" customHeight="1">
      <x:c r="A5" s="9"/>
      <x:c r="B5" s="9"/>
      <x:c r="C5" s="9"/>
      <x:c r="D5" s="9"/>
      <x:c r="E5" s="9"/>
      <x:c r="F5" s="9"/>
      <x:c r="G5" s="9"/>
      <x:c r="H5" s="9"/>
      <x:c r="I5" s="9"/>
      <x:c r="J5" s="9"/>
      <x:c r="K5" s="9"/>
      <x:c r="L5" s="9"/>
      <x:c r="M5" s="9"/>
      <x:c r="N5" s="9"/>
    </x:row>
    <x:row r="6" ht="15" hidden="0" customHeight="1">
      <x:c r="A6" s="57" t="str">
        <x:v>Metrics assessed</x:v>
      </x:c>
      <x:c r="B6" s="59" t="n">
        <x:f>COUNTA(A13:A17)</x:f>
        <x:v>5</x:v>
      </x:c>
      <x:c r="C6" s="9"/>
      <x:c r="D6" s="9"/>
      <x:c r="E6" s="9"/>
      <x:c r="F6" s="9"/>
      <x:c r="G6" s="9"/>
      <x:c r="H6" s="9"/>
      <x:c r="I6" s="9"/>
      <x:c r="J6" s="9"/>
      <x:c r="K6" s="9"/>
      <x:c r="L6" s="9"/>
      <x:c r="M6" s="9"/>
      <x:c r="N6" s="9"/>
    </x:row>
    <x:row r="7" ht="15" hidden="0" customHeight="1">
      <x:c r="A7" s="57" t="str">
        <x:v>Ready</x:v>
      </x:c>
      <x:c r="B7" s="59" t="n">
        <x:f>COUNTIF(M13:M17,"Ready")</x:f>
        <x:v>3</x:v>
      </x:c>
      <x:c r="C7" s="9"/>
      <x:c r="D7" s="9"/>
      <x:c r="E7" s="9"/>
      <x:c r="F7" s="9"/>
      <x:c r="G7" s="9"/>
      <x:c r="H7" s="9"/>
      <x:c r="I7" s="9"/>
      <x:c r="J7" s="9"/>
      <x:c r="K7" s="9"/>
      <x:c r="L7" s="9"/>
      <x:c r="M7" s="9"/>
      <x:c r="N7" s="9"/>
    </x:row>
    <x:row r="8" ht="15" hidden="0" customHeight="1">
      <x:c r="A8" s="57" t="str">
        <x:v>Directional only</x:v>
      </x:c>
      <x:c r="B8" s="59" t="n">
        <x:f>COUNTIF(M13:M17,"Directional only")</x:f>
        <x:v>1</x:v>
      </x:c>
      <x:c r="C8" s="9"/>
      <x:c r="D8" s="9"/>
      <x:c r="E8" s="9"/>
      <x:c r="F8" s="9"/>
      <x:c r="G8" s="9"/>
      <x:c r="H8" s="9"/>
      <x:c r="I8" s="9"/>
      <x:c r="J8" s="9"/>
      <x:c r="K8" s="9"/>
      <x:c r="L8" s="9"/>
      <x:c r="M8" s="9"/>
      <x:c r="N8" s="9"/>
    </x:row>
    <x:row r="9" ht="15" hidden="0" customHeight="1">
      <x:c r="A9" s="57" t="str">
        <x:v>Incomplete</x:v>
      </x:c>
      <x:c r="B9" s="59" t="n">
        <x:f>COUNTIF(M13:M17,"Incomplete")</x:f>
        <x:v>1</x:v>
      </x:c>
      <x:c r="C9" s="9"/>
      <x:c r="D9" s="9"/>
      <x:c r="E9" s="9"/>
      <x:c r="F9" s="9"/>
      <x:c r="G9" s="9"/>
      <x:c r="H9" s="9"/>
      <x:c r="I9" s="9"/>
      <x:c r="J9" s="9"/>
      <x:c r="K9" s="9"/>
      <x:c r="L9" s="9"/>
      <x:c r="M9" s="9"/>
      <x:c r="N9" s="9"/>
    </x:row>
    <x:row r="10" ht="15" hidden="0" customHeight="1">
      <x:c r="A10" s="9"/>
      <x:c r="B10" s="9"/>
      <x:c r="C10" s="9"/>
      <x:c r="D10" s="9"/>
      <x:c r="E10" s="9"/>
      <x:c r="F10" s="9"/>
      <x:c r="G10" s="9"/>
      <x:c r="H10" s="9"/>
      <x:c r="I10" s="9"/>
      <x:c r="J10" s="9"/>
      <x:c r="K10" s="9"/>
      <x:c r="L10" s="9"/>
      <x:c r="M10" s="9"/>
      <x:c r="N10" s="9"/>
    </x:row>
    <x:row r="11" ht="24" hidden="0" customHeight="1">
      <x:c r="A11" s="18" t="str">
        <x:v>Metric</x:v>
      </x:c>
      <x:c r="B11" s="19" t="str">
        <x:v>Decision supported</x:v>
      </x:c>
      <x:c r="C11" s="19" t="str">
        <x:v>Source</x:v>
      </x:c>
      <x:c r="D11" s="19" t="str">
        <x:v>Owner</x:v>
      </x:c>
      <x:c r="E11" s="19" t="str">
        <x:v>Sample size</x:v>
      </x:c>
      <x:c r="F11" s="19" t="str">
        <x:v>Correct records</x:v>
      </x:c>
      <x:c r="G11" s="19" t="str">
        <x:v>Precision</x:v>
      </x:c>
      <x:c r="H11" s="19" t="str">
        <x:v>Freshness (days)</x:v>
      </x:c>
      <x:c r="I11" s="19" t="str">
        <x:v>Required fields complete</x:v>
      </x:c>
      <x:c r="J11" s="19" t="str">
        <x:v>Lineage</x:v>
      </x:c>
      <x:c r="K11" s="19" t="str">
        <x:v>Actionability</x:v>
      </x:c>
      <x:c r="L11" s="19" t="str">
        <x:v>Evidence class</x:v>
      </x:c>
      <x:c r="M11" s="19" t="str">
        <x:v>Readiness</x:v>
      </x:c>
      <x:c r="N11" s="20" t="str">
        <x:v>Required action</x:v>
      </x:c>
    </x:row>
    <x:row r="12" ht="15" hidden="0" customHeight="1">
      <x:c r="A12" s="33" t="str">
        <x:v>Default readiness gate: precision &gt;=90%, required fields &gt;=95%, confirmed lineage, actionability &gt;=80%, sample size &gt;=30, and freshness &lt;=7 days.</x:v>
      </x:c>
      <x:c r="B12" s="9"/>
      <x:c r="C12" s="9"/>
      <x:c r="D12" s="9"/>
      <x:c r="E12" s="9"/>
      <x:c r="F12" s="9"/>
      <x:c r="G12" s="9"/>
      <x:c r="H12" s="9"/>
      <x:c r="I12" s="9"/>
      <x:c r="J12" s="9"/>
      <x:c r="K12" s="9"/>
      <x:c r="L12" s="9"/>
      <x:c r="M12" s="9"/>
      <x:c r="N12" s="9"/>
    </x:row>
    <x:row r="13" ht="24" hidden="0" customHeight="1">
      <x:c r="A13" s="38" t="str">
        <x:v>Actionable alert precision</x:v>
      </x:c>
      <x:c r="B13" s="38" t="str">
        <x:v>Whether alerts should enter the partner workflow</x:v>
      </x:c>
      <x:c r="C13" s="38" t="str">
        <x:v>Alert and ticket audit</x:v>
      </x:c>
      <x:c r="D13" s="38" t="str">
        <x:v>Data owner</x:v>
      </x:c>
      <x:c r="E13" s="38" t="n">
        <x:v>50</x:v>
      </x:c>
      <x:c r="F13" s="38" t="n">
        <x:v>36</x:v>
      </x:c>
      <x:c r="G13" s="40" t="n">
        <x:f>IF(E13=0,"",F13/E13)</x:f>
        <x:v>0.72</x:v>
      </x:c>
      <x:c r="H13" s="38" t="n">
        <x:v>1</x:v>
      </x:c>
      <x:c r="I13" s="39" t="n">
        <x:v>0.92</x:v>
      </x:c>
      <x:c r="J13" s="38" t="str">
        <x:v>Confirmed</x:v>
      </x:c>
      <x:c r="K13" s="39" t="n">
        <x:v>0.78</x:v>
      </x:c>
      <x:c r="L13" s="38" t="str">
        <x:v>Validated</x:v>
      </x:c>
      <x:c r="M13" s="9" t="str">
        <x:f>IF(OR(A13="",C13="",D13="",E13&lt;30,G13="",I13="",J13="",K13=""),"Incomplete",IF(AND(G13&gt;=90%,H13&lt;=7,I13&gt;=95%,J13="Confirmed",K13&gt;=80%),"Ready","Directional only"))</x:f>
        <x:v>Directional only</x:v>
      </x:c>
      <x:c r="N13" s="38" t="str">
        <x:v>Reduce false positives and raise actionability</x:v>
      </x:c>
    </x:row>
    <x:row r="14" ht="15" hidden="0" customHeight="1">
      <x:c r="A14" s="38" t="str">
        <x:v>Mission completion rate</x:v>
      </x:c>
      <x:c r="B14" s="38" t="str">
        <x:v>Whether pilot reliability supports expansion</x:v>
      </x:c>
      <x:c r="C14" s="38" t="str">
        <x:v>Mission log</x:v>
      </x:c>
      <x:c r="D14" s="38" t="str">
        <x:v>Operations lead</x:v>
      </x:c>
      <x:c r="E14" s="38" t="n">
        <x:v>120</x:v>
      </x:c>
      <x:c r="F14" s="38" t="n">
        <x:v>115</x:v>
      </x:c>
      <x:c r="G14" s="40" t="n">
        <x:f>IF(E14=0,"",F14/E14)</x:f>
        <x:v>0.9583333333333334</x:v>
      </x:c>
      <x:c r="H14" s="38" t="n">
        <x:v>1</x:v>
      </x:c>
      <x:c r="I14" s="39" t="n">
        <x:v>0.99</x:v>
      </x:c>
      <x:c r="J14" s="38" t="str">
        <x:v>Confirmed</x:v>
      </x:c>
      <x:c r="K14" s="39" t="n">
        <x:v>0.95</x:v>
      </x:c>
      <x:c r="L14" s="38" t="str">
        <x:v>Observed</x:v>
      </x:c>
      <x:c r="M14" s="9" t="str">
        <x:f>IF(OR(A14="",C14="",D14="",E14&lt;30,G14="",I14="",J14="",K14=""),"Incomplete",IF(AND(G14&gt;=90%,H14&lt;=7,I14&gt;=95%,J14="Confirmed",K14&gt;=80%),"Ready","Directional only"))</x:f>
        <x:v>Ready</x:v>
      </x:c>
      <x:c r="N14" s="38" t="str">
        <x:v>Investigate failed missions</x:v>
      </x:c>
    </x:row>
    <x:row r="15" ht="15" hidden="0" customHeight="1">
      <x:c r="A15" s="38" t="str">
        <x:v>Mean review time</x:v>
      </x:c>
      <x:c r="B15" s="38" t="str">
        <x:v>Whether workflow reduces operator effort</x:v>
      </x:c>
      <x:c r="C15" s="38" t="str">
        <x:v>Time study</x:v>
      </x:c>
      <x:c r="D15" s="38" t="str">
        <x:v>Program lead</x:v>
      </x:c>
      <x:c r="E15" s="38" t="n">
        <x:v>42</x:v>
      </x:c>
      <x:c r="F15" s="38" t="n">
        <x:v>40</x:v>
      </x:c>
      <x:c r="G15" s="40" t="n">
        <x:f>IF(E15=0,"",F15/E15)</x:f>
        <x:v>0.9523809523809523</x:v>
      </x:c>
      <x:c r="H15" s="38" t="n">
        <x:v>5</x:v>
      </x:c>
      <x:c r="I15" s="39" t="n">
        <x:v>0.98</x:v>
      </x:c>
      <x:c r="J15" s="38" t="str">
        <x:v>Confirmed</x:v>
      </x:c>
      <x:c r="K15" s="39" t="n">
        <x:v>0.9</x:v>
      </x:c>
      <x:c r="L15" s="38" t="str">
        <x:v>Observed</x:v>
      </x:c>
      <x:c r="M15" s="9" t="str">
        <x:f>IF(OR(A15="",C15="",D15="",E15&lt;30,G15="",I15="",J15="",K15=""),"Incomplete",IF(AND(G15&gt;=90%,H15&lt;=7,I15&gt;=95%,J15="Confirmed",K15&gt;=80%),"Ready","Directional only"))</x:f>
        <x:v>Ready</x:v>
      </x:c>
      <x:c r="N15" s="38" t="str">
        <x:v>Validate two outliers</x:v>
      </x:c>
    </x:row>
    <x:row r="16" ht="15" hidden="0" customHeight="1">
      <x:c r="A16" s="38" t="str">
        <x:v>High-risk human review</x:v>
      </x:c>
      <x:c r="B16" s="38" t="str">
        <x:v>Whether required oversight is operating</x:v>
      </x:c>
      <x:c r="C16" s="38" t="str">
        <x:v>Approval log</x:v>
      </x:c>
      <x:c r="D16" s="38" t="str">
        <x:v>Safety owner</x:v>
      </x:c>
      <x:c r="E16" s="38" t="n">
        <x:v>31</x:v>
      </x:c>
      <x:c r="F16" s="38" t="n">
        <x:v>31</x:v>
      </x:c>
      <x:c r="G16" s="40" t="n">
        <x:f>IF(E16=0,"",F16/E16)</x:f>
        <x:v>1</x:v>
      </x:c>
      <x:c r="H16" s="38" t="n">
        <x:v>2</x:v>
      </x:c>
      <x:c r="I16" s="39" t="n">
        <x:v>1</x:v>
      </x:c>
      <x:c r="J16" s="38" t="str">
        <x:v>Confirmed</x:v>
      </x:c>
      <x:c r="K16" s="39" t="n">
        <x:v>1</x:v>
      </x:c>
      <x:c r="L16" s="38" t="str">
        <x:v>Validated</x:v>
      </x:c>
      <x:c r="M16" s="9" t="str">
        <x:f>IF(OR(A16="",C16="",D16="",E16&lt;30,G16="",I16="",J16="",K16=""),"Incomplete",IF(AND(G16&gt;=90%,H16&lt;=7,I16&gt;=95%,J16="Confirmed",K16&gt;=80%),"Ready","Directional only"))</x:f>
        <x:v>Ready</x:v>
      </x:c>
      <x:c r="N16" s="38" t="str">
        <x:v>Maintain control</x:v>
      </x:c>
    </x:row>
    <x:row r="17" ht="15" hidden="0" customHeight="1">
      <x:c r="A17" s="43" t="str">
        <x:v>Avoided incident cost</x:v>
      </x:c>
      <x:c r="B17" s="43" t="str">
        <x:v>Whether benefits justify scaling</x:v>
      </x:c>
      <x:c r="C17" s="43" t="str">
        <x:v>Modeled assumption</x:v>
      </x:c>
      <x:c r="D17" s="43" t="str">
        <x:v>Finance owner</x:v>
      </x:c>
      <x:c r="E17" s="43" t="n">
        <x:v>0</x:v>
      </x:c>
      <x:c r="F17" s="43" t="n">
        <x:v>0</x:v>
      </x:c>
      <x:c r="G17" s="45" t="str">
        <x:f>IF(E17=0,"",F17/E17)</x:f>
      </x:c>
      <x:c r="H17" s="43" t="n">
        <x:v>30</x:v>
      </x:c>
      <x:c r="I17" s="44" t="n">
        <x:v>0.6</x:v>
      </x:c>
      <x:c r="J17" s="43" t="str">
        <x:v>Unconfirmed</x:v>
      </x:c>
      <x:c r="K17" s="44" t="n">
        <x:v>0.5</x:v>
      </x:c>
      <x:c r="L17" s="43" t="str">
        <x:v>Projected</x:v>
      </x:c>
      <x:c r="M17" s="21" t="str">
        <x:f>IF(OR(A17="",C17="",D17="",E17&lt;30,G17="",I17="",J17="",K17=""),"Incomplete",IF(AND(G17&gt;=90%,H17&lt;=7,I17&gt;=95%,J17="Confirmed",K17&gt;=80%),"Ready","Directional only"))</x:f>
        <x:v>Incomplete</x:v>
      </x:c>
      <x:c r="N17" s="43" t="str">
        <x:v>Collect incident-cost evidence</x:v>
      </x:c>
    </x:row>
    <x:row r="18" ht="15" hidden="0" customHeight="1">
      <x:c r="A18" s="9"/>
      <x:c r="B18" s="9"/>
      <x:c r="C18" s="9"/>
      <x:c r="D18" s="9"/>
      <x:c r="E18" s="9"/>
      <x:c r="F18" s="9"/>
      <x:c r="G18" s="9"/>
      <x:c r="H18" s="9"/>
      <x:c r="I18" s="9"/>
      <x:c r="J18" s="9"/>
      <x:c r="K18" s="9"/>
      <x:c r="L18" s="9"/>
      <x:c r="M18" s="9"/>
      <x:c r="N18" s="9"/>
    </x:row>
    <x:row r="19">
      <x:c r="A19" s="24" t="str">
        <x:v>Reporting rule: A metric marked Directional only may support investigation, but it should not be presented as a precise outcome or used as the sole basis for partner escalation. Document exclusions, lag, denominator, duplicate handling, and when resolution changes the metric.</x:v>
      </x:c>
      <x:c r="B19" s="24"/>
      <x:c r="C19" s="24"/>
      <x:c r="D19" s="24"/>
      <x:c r="E19" s="24"/>
      <x:c r="F19" s="24"/>
      <x:c r="G19" s="24"/>
      <x:c r="H19" s="24"/>
      <x:c r="I19" s="24"/>
      <x:c r="J19" s="24"/>
      <x:c r="K19" s="24"/>
      <x:c r="L19" s="24"/>
      <x:c r="M19" s="24"/>
      <x:c r="N19" s="24"/>
    </x:row>
    <x:row r="20">
      <x:c r="A20" s="24"/>
      <x:c r="B20" s="24"/>
      <x:c r="C20" s="24"/>
      <x:c r="D20" s="24"/>
      <x:c r="E20" s="24"/>
      <x:c r="F20" s="24"/>
      <x:c r="G20" s="24"/>
      <x:c r="H20" s="24"/>
      <x:c r="I20" s="24"/>
      <x:c r="J20" s="24"/>
      <x:c r="K20" s="24"/>
      <x:c r="L20" s="24"/>
      <x:c r="M20" s="24"/>
      <x:c r="N20" s="24"/>
    </x:row>
    <x:row r="21">
      <x:c r="A21" s="24"/>
      <x:c r="B21" s="24"/>
      <x:c r="C21" s="24"/>
      <x:c r="D21" s="24"/>
      <x:c r="E21" s="24"/>
      <x:c r="F21" s="24"/>
      <x:c r="G21" s="24"/>
      <x:c r="H21" s="24"/>
      <x:c r="I21" s="24"/>
      <x:c r="J21" s="24"/>
      <x:c r="K21" s="24"/>
      <x:c r="L21" s="24"/>
      <x:c r="M21" s="24"/>
      <x:c r="N21" s="24"/>
    </x:row>
    <x:row r="22" ht="15" hidden="0" customHeight="1">
      <x:c r="A22" s="9"/>
      <x:c r="B22" s="9"/>
      <x:c r="C22" s="9"/>
      <x:c r="D22" s="9"/>
      <x:c r="E22" s="9"/>
      <x:c r="F22" s="9"/>
      <x:c r="G22" s="9"/>
      <x:c r="H22" s="9"/>
      <x:c r="I22" s="9"/>
      <x:c r="J22" s="9"/>
      <x:c r="K22" s="9"/>
      <x:c r="L22" s="9"/>
      <x:c r="M22" s="9"/>
      <x:c r="N22" s="9"/>
    </x:row>
  </x:sheetData>
  <x:mergeCells>
    <x:mergeCell ref="A2:N2"/>
    <x:mergeCell ref="A3:N3"/>
    <x:mergeCell ref="A12:N12"/>
    <x:mergeCell ref="A19:N21"/>
  </x:mergeCells>
  <x:conditionalFormatting sqref="M13:M17">
    <x:cfRule type="containsText" dxfId="3" priority="1" operator="containsText" text="Ready"/>
    <x:cfRule type="containsText" dxfId="4" priority="2" operator="containsText" text="Directional"/>
    <x:cfRule type="containsText" dxfId="5" priority="3" operator="containsText" text="Incomplete"/>
  </x:conditionalFormatting>
  <x:dataValidations count="2">
    <x:dataValidation type="list" sqref="J13:J17">
      <x:formula1>"Confirmed,Partially confirmed,Unconfirmed"</x:formula1>
    </x:dataValidation>
    <x:dataValidation type="list" sqref="L13:L17">
      <x:formula1>"Projected,Observed,Validated"</x:formula1>
    </x:dataValidation>
  </x:dataValidations>
  <x:pageMargins left="0.7" right="0.7" top="0.75" bottom="0.75" header="0.3" footer="0.3"/>
</x:worksheet>
</file>

<file path=xl/worksheets/sheet4.xml><?xml version="1.0" encoding="utf-8"?>
<x:worksheet xmlns:x="http://schemas.openxmlformats.org/spreadsheetml/2006/main">
  <x:sheetPr>
    <x:tabColor rgb="FF2E5E87"/>
  </x:sheetPr>
  <x:sheetViews>
    <x:sheetView showGridLines="0" workbookViewId="0">
      <x:pane ySplit="8" topLeftCell="A9" activePane="bottomLeft" state="frozen"/>
    </x:sheetView>
  </x:sheetViews>
  <x:sheetFormatPr defaultRowHeight="15"/>
  <x:cols>
    <x:col min="1" max="1" width="34" hidden="0" customWidth="1"/>
    <x:col min="2" max="2" width="18" hidden="0" customWidth="1"/>
    <x:col min="3" max="3" width="18" hidden="0" customWidth="1"/>
    <x:col min="4" max="4" width="24" hidden="0" customWidth="1"/>
    <x:col min="5" max="5" width="24" hidden="0" customWidth="1"/>
    <x:col min="6" max="6" width="34" hidden="0" customWidth="1"/>
  </x:cols>
  <x:sheetData>
    <x:row r="1" ht="15" hidden="0" customHeight="1">
      <x:c r="A1" s="9"/>
      <x:c r="B1" s="9"/>
      <x:c r="C1" s="9"/>
      <x:c r="D1" s="9"/>
      <x:c r="E1" s="9"/>
      <x:c r="F1" s="9"/>
    </x:row>
    <x:row r="2" ht="24" hidden="0" customHeight="1">
      <x:c r="A2" s="53" t="str">
        <x:v>Operational ROI Calculator</x:v>
      </x:c>
      <x:c r="B2" s="9"/>
      <x:c r="C2" s="9"/>
      <x:c r="D2" s="9"/>
      <x:c r="E2" s="9"/>
      <x:c r="F2" s="9"/>
    </x:row>
    <x:row r="3" ht="20" hidden="0" customHeight="1">
      <x:c r="A3" s="54" t="str">
        <x:v>Scenario-based estimate. Benefits remain projected until measured and validated.</x:v>
      </x:c>
      <x:c r="B3" s="9"/>
      <x:c r="C3" s="9"/>
      <x:c r="D3" s="9"/>
      <x:c r="E3" s="9"/>
      <x:c r="F3" s="9"/>
    </x:row>
    <x:row r="4" ht="15" hidden="0" customHeight="1">
      <x:c r="A4" s="55"/>
      <x:c r="B4" s="55"/>
      <x:c r="C4" s="55"/>
      <x:c r="D4" s="55"/>
      <x:c r="E4" s="55"/>
      <x:c r="F4" s="55"/>
    </x:row>
    <x:row r="5" ht="15" hidden="0" customHeight="1">
      <x:c r="A5" s="9"/>
      <x:c r="B5" s="9"/>
      <x:c r="C5" s="9"/>
      <x:c r="D5" s="9"/>
      <x:c r="E5" s="9"/>
      <x:c r="F5" s="9"/>
    </x:row>
    <x:row r="6" ht="15" hidden="0" customHeight="1">
      <x:c r="A6" s="57" t="str">
        <x:v>Selected scenario</x:v>
      </x:c>
      <x:c r="B6" s="38" t="str">
        <x:v>Base</x:v>
      </x:c>
      <x:c r="C6" s="9"/>
      <x:c r="D6" s="9"/>
      <x:c r="E6" s="9"/>
      <x:c r="F6" s="9"/>
    </x:row>
    <x:row r="7" ht="15" hidden="0" customHeight="1">
      <x:c r="A7" s="9"/>
      <x:c r="B7" s="9"/>
      <x:c r="C7" s="9"/>
      <x:c r="D7" s="9"/>
      <x:c r="E7" s="9"/>
      <x:c r="F7" s="9"/>
    </x:row>
    <x:row r="8" ht="15" hidden="0" customHeight="1">
      <x:c r="A8" s="18" t="str">
        <x:v>Driver</x:v>
      </x:c>
      <x:c r="B8" s="19" t="str">
        <x:v>Active</x:v>
      </x:c>
      <x:c r="C8" s="19" t="str">
        <x:v>Conservative</x:v>
      </x:c>
      <x:c r="D8" s="19" t="str">
        <x:v>Base</x:v>
      </x:c>
      <x:c r="E8" s="20" t="str">
        <x:v>Aggressive</x:v>
      </x:c>
      <x:c r="F8" s="9"/>
    </x:row>
    <x:row r="9" ht="15" hidden="0" customHeight="1">
      <x:c r="A9" s="9" t="str">
        <x:v>Annual event volume</x:v>
      </x:c>
      <x:c r="B9" s="9" t="n">
        <x:f>INDEX(C9:E9,1,MATCH($B$6,$C$8:$E$8,0))</x:f>
        <x:v>15000</x:v>
      </x:c>
      <x:c r="C9" s="38" t="n">
        <x:v>12000</x:v>
      </x:c>
      <x:c r="D9" s="38" t="n">
        <x:v>15000</x:v>
      </x:c>
      <x:c r="E9" s="38" t="n">
        <x:v>18000</x:v>
      </x:c>
      <x:c r="F9" s="9"/>
    </x:row>
    <x:row r="10" ht="15" hidden="0" customHeight="1">
      <x:c r="A10" s="9" t="str">
        <x:v>Minutes saved per event</x:v>
      </x:c>
      <x:c r="B10" s="9" t="n">
        <x:f>INDEX(C10:E10,1,MATCH($B$6,$C$8:$E$8,0))</x:f>
        <x:v>3</x:v>
      </x:c>
      <x:c r="C10" s="38" t="n">
        <x:v>1.5</x:v>
      </x:c>
      <x:c r="D10" s="38" t="n">
        <x:v>3</x:v>
      </x:c>
      <x:c r="E10" s="38" t="n">
        <x:v>5</x:v>
      </x:c>
      <x:c r="F10" s="9"/>
    </x:row>
    <x:row r="11" ht="15" hidden="0" customHeight="1">
      <x:c r="A11" s="9" t="str">
        <x:v>Loaded hourly labor rate</x:v>
      </x:c>
      <x:c r="B11" s="60" t="n">
        <x:f>INDEX(C11:E11,1,MATCH($B$6,$C$8:$E$8,0))</x:f>
        <x:v>55</x:v>
      </x:c>
      <x:c r="C11" s="61" t="n">
        <x:v>45</x:v>
      </x:c>
      <x:c r="D11" s="61" t="n">
        <x:v>55</x:v>
      </x:c>
      <x:c r="E11" s="61" t="n">
        <x:v>65</x:v>
      </x:c>
      <x:c r="F11" s="9"/>
    </x:row>
    <x:row r="12" ht="15" hidden="0" customHeight="1">
      <x:c r="A12" s="9" t="str">
        <x:v>Rework events avoided</x:v>
      </x:c>
      <x:c r="B12" s="9" t="n">
        <x:f>INDEX(C12:E12,1,MATCH($B$6,$C$8:$E$8,0))</x:f>
        <x:v>300</x:v>
      </x:c>
      <x:c r="C12" s="38" t="n">
        <x:v>120</x:v>
      </x:c>
      <x:c r="D12" s="38" t="n">
        <x:v>300</x:v>
      </x:c>
      <x:c r="E12" s="38" t="n">
        <x:v>540</x:v>
      </x:c>
      <x:c r="F12" s="9"/>
    </x:row>
    <x:row r="13" ht="15" hidden="0" customHeight="1">
      <x:c r="A13" s="9" t="str">
        <x:v>Cost per rework event</x:v>
      </x:c>
      <x:c r="B13" s="60" t="n">
        <x:f>INDEX(C13:E13,1,MATCH($B$6,$C$8:$E$8,0))</x:f>
        <x:v>120</x:v>
      </x:c>
      <x:c r="C13" s="61" t="n">
        <x:v>80</x:v>
      </x:c>
      <x:c r="D13" s="61" t="n">
        <x:v>120</x:v>
      </x:c>
      <x:c r="E13" s="61" t="n">
        <x:v>160</x:v>
      </x:c>
      <x:c r="F13" s="9"/>
    </x:row>
    <x:row r="14" ht="15" hidden="0" customHeight="1">
      <x:c r="A14" s="9" t="str">
        <x:v>Implementation cost</x:v>
      </x:c>
      <x:c r="B14" s="60" t="n">
        <x:f>INDEX(C14:E14,1,MATCH($B$6,$C$8:$E$8,0))</x:f>
        <x:v>70000</x:v>
      </x:c>
      <x:c r="C14" s="61" t="n">
        <x:v>80000</x:v>
      </x:c>
      <x:c r="D14" s="61" t="n">
        <x:v>70000</x:v>
      </x:c>
      <x:c r="E14" s="61" t="n">
        <x:v>65000</x:v>
      </x:c>
      <x:c r="F14" s="9"/>
    </x:row>
    <x:row r="15" ht="15" hidden="0" customHeight="1">
      <x:c r="A15" s="9" t="str">
        <x:v>Annual operating cost</x:v>
      </x:c>
      <x:c r="B15" s="60" t="n">
        <x:f>INDEX(C15:E15,1,MATCH($B$6,$C$8:$E$8,0))</x:f>
        <x:v>25000</x:v>
      </x:c>
      <x:c r="C15" s="61" t="n">
        <x:v>30000</x:v>
      </x:c>
      <x:c r="D15" s="61" t="n">
        <x:v>25000</x:v>
      </x:c>
      <x:c r="E15" s="61" t="n">
        <x:v>22000</x:v>
      </x:c>
      <x:c r="F15" s="9"/>
    </x:row>
    <x:row r="16" ht="15" hidden="0" customHeight="1">
      <x:c r="A16" s="9" t="str">
        <x:v>Adoption rate</x:v>
      </x:c>
      <x:c r="B16" s="62" t="n">
        <x:f>INDEX(C16:E16,1,MATCH($B$6,$C$8:$E$8,0))</x:f>
        <x:v>0.7</x:v>
      </x:c>
      <x:c r="C16" s="37" t="n">
        <x:v>0.5</x:v>
      </x:c>
      <x:c r="D16" s="37" t="n">
        <x:v>0.7</x:v>
      </x:c>
      <x:c r="E16" s="37" t="n">
        <x:v>0.85</x:v>
      </x:c>
      <x:c r="F16" s="9"/>
    </x:row>
    <x:row r="17" ht="15" hidden="0" customHeight="1">
      <x:c r="A17" s="9"/>
      <x:c r="B17" s="9"/>
      <x:c r="C17" s="9"/>
      <x:c r="D17" s="9"/>
      <x:c r="E17" s="9"/>
      <x:c r="F17" s="9"/>
    </x:row>
    <x:row r="18" ht="15" hidden="0" customHeight="1">
      <x:c r="A18" s="18" t="str">
        <x:v>Selected-scenario results</x:v>
      </x:c>
      <x:c r="B18" s="20" t="str">
        <x:v>Value</x:v>
      </x:c>
      <x:c r="C18" s="9"/>
      <x:c r="D18" s="18" t="str">
        <x:v>Evidence field</x:v>
      </x:c>
      <x:c r="E18" s="19" t="str">
        <x:v>Entry</x:v>
      </x:c>
      <x:c r="F18" s="20" t="str">
        <x:v>Requirement</x:v>
      </x:c>
    </x:row>
    <x:row r="19" ht="15" hidden="0" customHeight="1">
      <x:c r="A19" s="9" t="str">
        <x:v>Annual labor benefit</x:v>
      </x:c>
      <x:c r="B19" s="63" t="n">
        <x:f>B9*(B10/60)*B11*B16</x:f>
        <x:v>28874.999999999996</x:v>
      </x:c>
      <x:c r="C19" s="9"/>
      <x:c r="D19" s="9" t="str">
        <x:v>Evidence class</x:v>
      </x:c>
      <x:c r="E19" s="38" t="str">
        <x:v>Projected</x:v>
      </x:c>
      <x:c r="F19" s="9" t="str">
        <x:v>Change only after measurement</x:v>
      </x:c>
    </x:row>
    <x:row r="20" ht="15" hidden="0" customHeight="1">
      <x:c r="A20" s="9" t="str">
        <x:v>Annual avoided-rework benefit</x:v>
      </x:c>
      <x:c r="B20" s="63" t="n">
        <x:f>B12*B13*B16</x:f>
        <x:v>25200</x:v>
      </x:c>
      <x:c r="C20" s="9"/>
      <x:c r="D20" s="9" t="str">
        <x:v>Baseline source</x:v>
      </x:c>
      <x:c r="E20" s="38" t="str">
        <x:v>Synthetic time study</x:v>
      </x:c>
      <x:c r="F20" s="9" t="str">
        <x:v>Name the record or study</x:v>
      </x:c>
    </x:row>
    <x:row r="21" ht="15" hidden="0" customHeight="1">
      <x:c r="A21" s="9" t="str">
        <x:v>Gross annual benefit</x:v>
      </x:c>
      <x:c r="B21" s="63" t="n">
        <x:f>B19+B20</x:f>
        <x:v>54075</x:v>
      </x:c>
      <x:c r="C21" s="9"/>
      <x:c r="D21" s="9" t="str">
        <x:v>Benefit owner</x:v>
      </x:c>
      <x:c r="E21" s="38" t="str">
        <x:v>Pilot sponsor</x:v>
      </x:c>
      <x:c r="F21" s="9" t="str">
        <x:v>Accountable reviewer</x:v>
      </x:c>
    </x:row>
    <x:row r="22" ht="15" hidden="0" customHeight="1">
      <x:c r="A22" s="9" t="str">
        <x:v>Annual net benefit after operating cost</x:v>
      </x:c>
      <x:c r="B22" s="63" t="n">
        <x:f>B21-B15</x:f>
        <x:v>29075</x:v>
      </x:c>
      <x:c r="C22" s="9"/>
      <x:c r="D22" s="9" t="str">
        <x:v>Validation date</x:v>
      </x:c>
      <x:c r="E22" s="38" t="str">
        <x:v>Not yet validated</x:v>
      </x:c>
      <x:c r="F22" s="9" t="str">
        <x:v>Record after pilot</x:v>
      </x:c>
    </x:row>
    <x:row r="23" ht="24" hidden="0" customHeight="1">
      <x:c r="A23" s="9" t="str">
        <x:v>First-year net benefit</x:v>
      </x:c>
      <x:c r="B23" s="63" t="n">
        <x:f>B21-B14-B15</x:f>
        <x:v>-40925</x:v>
      </x:c>
      <x:c r="C23" s="9"/>
      <x:c r="D23" s="9" t="str">
        <x:v>Excluded costs</x:v>
      </x:c>
      <x:c r="E23" s="38" t="str">
        <x:v>Security review and hardware replacement</x:v>
      </x:c>
      <x:c r="F23" s="9" t="str">
        <x:v>Document exclusions</x:v>
      </x:c>
    </x:row>
    <x:row r="24" ht="15" hidden="0" customHeight="1">
      <x:c r="A24" s="9" t="str">
        <x:v>ROI on first-year total cost</x:v>
      </x:c>
      <x:c r="B24" s="58" t="n">
        <x:f>IF(B14+B15=0,"",B23/(B14+B15))</x:f>
        <x:v>-0.4307894736842105</x:v>
      </x:c>
      <x:c r="C24" s="9"/>
      <x:c r="D24" s="9" t="str">
        <x:v>Decision use</x:v>
      </x:c>
      <x:c r="E24" s="38" t="str">
        <x:v>Pilot planning</x:v>
      </x:c>
      <x:c r="F24" s="9" t="str">
        <x:v>Do not claim realized savings</x:v>
      </x:c>
    </x:row>
    <x:row r="25" ht="15" hidden="0" customHeight="1">
      <x:c r="A25" s="9" t="str">
        <x:v>Payback period (months)</x:v>
      </x:c>
      <x:c r="B25" s="64" t="n">
        <x:f>IF(B22&lt;=0,"No payback",B14/(B22/12))</x:f>
        <x:v>28.890799656061912</x:v>
      </x:c>
      <x:c r="C25" s="9"/>
      <x:c r="D25" s="9"/>
      <x:c r="E25" s="9"/>
      <x:c r="F25" s="9"/>
    </x:row>
    <x:row r="26" ht="15" hidden="0" customHeight="1">
      <x:c r="A26" s="9"/>
      <x:c r="B26" s="9"/>
      <x:c r="C26" s="9"/>
      <x:c r="D26" s="9"/>
      <x:c r="E26" s="9"/>
      <x:c r="F26" s="9"/>
    </x:row>
    <x:row r="27">
      <x:c r="A27" s="24" t="str">
        <x:v>Use conservative, base, and aggressive assumptions to expose uncertainty. After the pilot, replace modeled time savings and avoided events with observed values, retain the original assumptions, and document the validation source.</x:v>
      </x:c>
      <x:c r="B27" s="24"/>
      <x:c r="C27" s="24"/>
      <x:c r="D27" s="24"/>
      <x:c r="E27" s="24"/>
      <x:c r="F27" s="24"/>
    </x:row>
    <x:row r="28">
      <x:c r="A28" s="24"/>
      <x:c r="B28" s="24"/>
      <x:c r="C28" s="24"/>
      <x:c r="D28" s="24"/>
      <x:c r="E28" s="24"/>
      <x:c r="F28" s="24"/>
    </x:row>
    <x:row r="29">
      <x:c r="A29" s="24"/>
      <x:c r="B29" s="24"/>
      <x:c r="C29" s="24"/>
      <x:c r="D29" s="24"/>
      <x:c r="E29" s="24"/>
      <x:c r="F29" s="24"/>
    </x:row>
    <x:row r="30" ht="15" hidden="0" customHeight="1">
      <x:c r="A30" s="9"/>
      <x:c r="B30" s="9"/>
      <x:c r="C30" s="9"/>
      <x:c r="D30" s="9"/>
      <x:c r="E30" s="9"/>
      <x:c r="F30" s="9"/>
    </x:row>
    <x:row r="31" ht="15" hidden="0" customHeight="1">
      <x:c r="A31" s="9"/>
      <x:c r="B31" s="9"/>
      <x:c r="C31" s="9"/>
      <x:c r="D31" s="9"/>
      <x:c r="E31" s="9"/>
      <x:c r="F31" s="9"/>
    </x:row>
  </x:sheetData>
  <x:mergeCells>
    <x:mergeCell ref="A2:F2"/>
    <x:mergeCell ref="A3:F3"/>
    <x:mergeCell ref="A27:F29"/>
  </x:mergeCells>
  <x:dataValidations count="1">
    <x:dataValidation type="list" sqref="B6">
      <x:formula1>"Conservative,Base,Aggressive"</x:formula1>
    </x:dataValidation>
  </x:dataValidations>
  <x:pageMargins left="0.7" right="0.7" top="0.75" bottom="0.75" header="0.3" footer="0.3"/>
</x:worksheet>
</file>

<file path=xl/worksheets/sheet5.xml><?xml version="1.0" encoding="utf-8"?>
<x:worksheet xmlns:x="http://schemas.openxmlformats.org/spreadsheetml/2006/main">
  <x:sheetPr>
    <x:tabColor rgb="FF2E5E87"/>
  </x:sheetPr>
  <x:sheetViews>
    <x:sheetView showGridLines="0" workbookViewId="0">
      <x:pane ySplit="12" topLeftCell="A13" activePane="bottomLeft" state="frozen"/>
    </x:sheetView>
  </x:sheetViews>
  <x:sheetFormatPr defaultRowHeight="15"/>
  <x:cols>
    <x:col min="1" max="1" width="16" hidden="0" customWidth="1"/>
    <x:col min="2" max="2" width="48" hidden="0" customWidth="1"/>
    <x:col min="3" max="3" width="28" hidden="0" customWidth="1"/>
    <x:col min="4" max="4" width="10" hidden="0" customWidth="1"/>
    <x:col min="5" max="5" width="14" hidden="0" customWidth="1"/>
    <x:col min="6" max="6" width="10" hidden="0" customWidth="1"/>
    <x:col min="7" max="7" width="40" hidden="0" customWidth="1"/>
    <x:col min="8" max="8" width="18" hidden="0" customWidth="1"/>
  </x:cols>
  <x:sheetData>
    <x:row r="1" ht="15" hidden="0" customHeight="1">
      <x:c r="A1" s="9"/>
      <x:c r="B1" s="9"/>
      <x:c r="C1" s="9"/>
      <x:c r="D1" s="9"/>
      <x:c r="E1" s="9"/>
      <x:c r="F1" s="9"/>
      <x:c r="G1" s="9"/>
      <x:c r="H1" s="9"/>
    </x:row>
    <x:row r="2" ht="24" hidden="0" customHeight="1">
      <x:c r="A2" s="53" t="str">
        <x:v>Operational Intelligence Maturity Assessment</x:v>
      </x:c>
      <x:c r="B2" s="9"/>
      <x:c r="C2" s="9"/>
      <x:c r="D2" s="9"/>
      <x:c r="E2" s="9"/>
      <x:c r="F2" s="9"/>
      <x:c r="G2" s="9"/>
      <x:c r="H2" s="9"/>
    </x:row>
    <x:row r="3" ht="20" hidden="0" customHeight="1">
      <x:c r="A3" s="54" t="str">
        <x:v>Rate current capability from 1 (ad hoc) to 5 (scaled and continuously improved).</x:v>
      </x:c>
      <x:c r="B3" s="9"/>
      <x:c r="C3" s="9"/>
      <x:c r="D3" s="9"/>
      <x:c r="E3" s="9"/>
      <x:c r="F3" s="9"/>
      <x:c r="G3" s="9"/>
      <x:c r="H3" s="9"/>
    </x:row>
    <x:row r="4" ht="15" hidden="0" customHeight="1">
      <x:c r="A4" s="55"/>
      <x:c r="B4" s="55"/>
      <x:c r="C4" s="55"/>
      <x:c r="D4" s="55"/>
      <x:c r="E4" s="55"/>
      <x:c r="F4" s="55"/>
      <x:c r="G4" s="55"/>
      <x:c r="H4" s="55"/>
    </x:row>
    <x:row r="5" ht="15" hidden="0" customHeight="1">
      <x:c r="A5" s="9"/>
      <x:c r="B5" s="9"/>
      <x:c r="C5" s="9"/>
      <x:c r="D5" s="9"/>
      <x:c r="E5" s="9"/>
      <x:c r="F5" s="9"/>
      <x:c r="G5" s="9"/>
      <x:c r="H5" s="9"/>
    </x:row>
    <x:row r="6" ht="15" hidden="0" customHeight="1">
      <x:c r="A6" s="57" t="str">
        <x:v>Overall score</x:v>
      </x:c>
      <x:c r="B6" s="64" t="n">
        <x:f>AVERAGE(D13:D24)</x:f>
        <x:v>2.5833333333333335</x:v>
      </x:c>
      <x:c r="C6" s="9"/>
      <x:c r="D6" s="9"/>
      <x:c r="E6" s="9"/>
      <x:c r="F6" s="9"/>
      <x:c r="G6" s="9"/>
      <x:c r="H6" s="9"/>
    </x:row>
    <x:row r="7" ht="15" hidden="0" customHeight="1">
      <x:c r="A7" s="57" t="str">
        <x:v>Maturity level</x:v>
      </x:c>
      <x:c r="B7" s="59" t="str">
        <x:f>IF(B6&lt;1.8,"1 - Ad hoc",IF(B6&lt;2.6,"2 - Defined",IF(B6&lt;3.4,"3 - Repeatable",IF(B6&lt;4.2,"4 - Integrated","5 - Adaptive"))))</x:f>
        <x:v>2 - Defined</x:v>
      </x:c>
      <x:c r="C7" s="9"/>
      <x:c r="D7" s="9"/>
      <x:c r="E7" s="9"/>
      <x:c r="F7" s="9"/>
      <x:c r="G7" s="9"/>
      <x:c r="H7" s="9"/>
    </x:row>
    <x:row r="8" ht="15" hidden="0" customHeight="1">
      <x:c r="A8" s="57" t="str">
        <x:v>Lowest dimension</x:v>
      </x:c>
      <x:c r="B8" s="59" t="str">
        <x:f>INDEX(A13:A24,MATCH(MIN(D13:D24),D13:D24,0))</x:f>
        <x:v>Observe</x:v>
      </x:c>
      <x:c r="C8" s="9"/>
      <x:c r="D8" s="9"/>
      <x:c r="E8" s="9"/>
      <x:c r="F8" s="9"/>
      <x:c r="G8" s="9"/>
      <x:c r="H8" s="9"/>
    </x:row>
    <x:row r="9" ht="15" hidden="0" customHeight="1">
      <x:c r="A9" s="57" t="str">
        <x:v>Assessment basis</x:v>
      </x:c>
      <x:c r="B9" s="38" t="str">
        <x:v>Synthetic self-assessment</x:v>
      </x:c>
      <x:c r="C9" s="9"/>
      <x:c r="D9" s="9"/>
      <x:c r="E9" s="9"/>
      <x:c r="F9" s="9"/>
      <x:c r="G9" s="9"/>
      <x:c r="H9" s="9"/>
    </x:row>
    <x:row r="10" ht="15" hidden="0" customHeight="1">
      <x:c r="A10" s="9"/>
      <x:c r="B10" s="9"/>
      <x:c r="C10" s="9"/>
      <x:c r="D10" s="9"/>
      <x:c r="E10" s="9"/>
      <x:c r="F10" s="9"/>
      <x:c r="G10" s="9"/>
      <x:c r="H10" s="9"/>
    </x:row>
    <x:row r="11" ht="15" hidden="0" customHeight="1">
      <x:c r="A11" s="18" t="str">
        <x:v>Dimension</x:v>
      </x:c>
      <x:c r="B11" s="19" t="str">
        <x:v>Capability question</x:v>
      </x:c>
      <x:c r="C11" s="19" t="str">
        <x:v>Evidence expected</x:v>
      </x:c>
      <x:c r="D11" s="19" t="str">
        <x:v>Rating</x:v>
      </x:c>
      <x:c r="E11" s="19" t="str">
        <x:v>Evidence class</x:v>
      </x:c>
      <x:c r="F11" s="19" t="str">
        <x:v>Gap</x:v>
      </x:c>
      <x:c r="G11" s="19" t="str">
        <x:v>Priority action</x:v>
      </x:c>
      <x:c r="H11" s="20" t="str">
        <x:v>Owner</x:v>
      </x:c>
    </x:row>
    <x:row r="12" ht="15" hidden="0" customHeight="1">
      <x:c r="A12" s="9"/>
      <x:c r="B12" s="9"/>
      <x:c r="C12" s="9"/>
      <x:c r="D12" s="9"/>
      <x:c r="E12" s="9"/>
      <x:c r="F12" s="9"/>
      <x:c r="G12" s="9"/>
      <x:c r="H12" s="9"/>
    </x:row>
    <x:row r="13" ht="15" hidden="0" customHeight="1">
      <x:c r="A13" s="9" t="str">
        <x:v>Observe</x:v>
      </x:c>
      <x:c r="B13" s="9" t="str">
        <x:v>Are metric definitions consistent across participating organizations?</x:v>
      </x:c>
      <x:c r="C13" s="9" t="str">
        <x:v>Metric dictionary and sign-off</x:v>
      </x:c>
      <x:c r="D13" s="38" t="n">
        <x:v>3</x:v>
      </x:c>
      <x:c r="E13" s="38" t="str">
        <x:v>Observed</x:v>
      </x:c>
      <x:c r="F13" s="9" t="n">
        <x:f>5-D13</x:f>
        <x:v>2</x:v>
      </x:c>
      <x:c r="G13" s="38" t="str">
        <x:v>Align definitions and denominators</x:v>
      </x:c>
      <x:c r="H13" s="38" t="str">
        <x:v>Data owner</x:v>
      </x:c>
    </x:row>
    <x:row r="14" ht="15" hidden="0" customHeight="1">
      <x:c r="A14" s="9" t="str">
        <x:v>Observe</x:v>
      </x:c>
      <x:c r="B14" s="9" t="str">
        <x:v>Can users trace each critical metric to its source and transformation?</x:v>
      </x:c>
      <x:c r="C14" s="9" t="str">
        <x:v>Lineage documentation</x:v>
      </x:c>
      <x:c r="D14" s="38" t="n">
        <x:v>2</x:v>
      </x:c>
      <x:c r="E14" s="38" t="str">
        <x:v>Observed</x:v>
      </x:c>
      <x:c r="F14" s="9" t="n">
        <x:f>5-D14</x:f>
        <x:v>3</x:v>
      </x:c>
      <x:c r="G14" s="38" t="str">
        <x:v>Document source-to-report lineage</x:v>
      </x:c>
      <x:c r="H14" s="38" t="str">
        <x:v>Analytics lead</x:v>
      </x:c>
    </x:row>
    <x:row r="15" ht="15" hidden="0" customHeight="1">
      <x:c r="A15" s="9" t="str">
        <x:v>Observe</x:v>
      </x:c>
      <x:c r="B15" s="9" t="str">
        <x:v>Are critical metrics validated against representative samples?</x:v>
      </x:c>
      <x:c r="C15" s="9" t="str">
        <x:v>Sampling plan and audit</x:v>
      </x:c>
      <x:c r="D15" s="38" t="n">
        <x:v>2</x:v>
      </x:c>
      <x:c r="E15" s="38" t="str">
        <x:v>Validated</x:v>
      </x:c>
      <x:c r="F15" s="9" t="n">
        <x:f>5-D15</x:f>
        <x:v>3</x:v>
      </x:c>
      <x:c r="G15" s="38" t="str">
        <x:v>Establish recurring precision audit</x:v>
      </x:c>
      <x:c r="H15" s="38" t="str">
        <x:v>Quality lead</x:v>
      </x:c>
    </x:row>
    <x:row r="16" ht="24" hidden="0" customHeight="1">
      <x:c r="A16" s="9" t="str">
        <x:v>Diagnose</x:v>
      </x:c>
      <x:c r="B16" s="9" t="str">
        <x:v>Can teams separate symptoms, root causes, and contributing conditions?</x:v>
      </x:c>
      <x:c r="C16" s="9" t="str">
        <x:v>Root-cause records</x:v>
      </x:c>
      <x:c r="D16" s="38" t="n">
        <x:v>3</x:v>
      </x:c>
      <x:c r="E16" s="38" t="str">
        <x:v>Observed</x:v>
      </x:c>
      <x:c r="F16" s="9" t="n">
        <x:f>5-D16</x:f>
        <x:v>2</x:v>
      </x:c>
      <x:c r="G16" s="38" t="str">
        <x:v>Standardize cause taxonomy</x:v>
      </x:c>
      <x:c r="H16" s="38" t="str">
        <x:v>Operations lead</x:v>
      </x:c>
    </x:row>
    <x:row r="17" ht="15" hidden="0" customHeight="1">
      <x:c r="A17" s="9" t="str">
        <x:v>Diagnose</x:v>
      </x:c>
      <x:c r="B17" s="9" t="str">
        <x:v>Are exceptions categorized by actionability and customer impact?</x:v>
      </x:c>
      <x:c r="C17" s="9" t="str">
        <x:v>Exception taxonomy</x:v>
      </x:c>
      <x:c r="D17" s="38" t="n">
        <x:v>3</x:v>
      </x:c>
      <x:c r="E17" s="38" t="str">
        <x:v>Observed</x:v>
      </x:c>
      <x:c r="F17" s="9" t="n">
        <x:f>5-D17</x:f>
        <x:v>2</x:v>
      </x:c>
      <x:c r="G17" s="38" t="str">
        <x:v>Add actionability and impact tags</x:v>
      </x:c>
      <x:c r="H17" s="38" t="str">
        <x:v>Program lead</x:v>
      </x:c>
    </x:row>
    <x:row r="18" ht="15" hidden="0" customHeight="1">
      <x:c r="A18" s="9" t="str">
        <x:v>Diagnose</x:v>
      </x:c>
      <x:c r="B18" s="9" t="str">
        <x:v>Can teams reconcile conflicting system and partner records?</x:v>
      </x:c>
      <x:c r="C18" s="9" t="str">
        <x:v>Reconciliation process</x:v>
      </x:c>
      <x:c r="D18" s="38" t="n">
        <x:v>2</x:v>
      </x:c>
      <x:c r="E18" s="38" t="str">
        <x:v>Observed</x:v>
      </x:c>
      <x:c r="F18" s="9" t="n">
        <x:f>5-D18</x:f>
        <x:v>3</x:v>
      </x:c>
      <x:c r="G18" s="38" t="str">
        <x:v>Define source precedence and dispute process</x:v>
      </x:c>
      <x:c r="H18" s="38" t="str">
        <x:v>Data owner</x:v>
      </x:c>
    </x:row>
    <x:row r="19" ht="15" hidden="0" customHeight="1">
      <x:c r="A19" s="9" t="str">
        <x:v>Prioritize</x:v>
      </x:c>
      <x:c r="B19" s="9" t="str">
        <x:v>Are limited resources directed to the highest-risk actionable work?</x:v>
      </x:c>
      <x:c r="C19" s="9" t="str">
        <x:v>Prioritization rules</x:v>
      </x:c>
      <x:c r="D19" s="38" t="n">
        <x:v>3</x:v>
      </x:c>
      <x:c r="E19" s="38" t="str">
        <x:v>Observed</x:v>
      </x:c>
      <x:c r="F19" s="9" t="n">
        <x:f>5-D19</x:f>
        <x:v>2</x:v>
      </x:c>
      <x:c r="G19" s="38" t="str">
        <x:v>Adopt risk and actionability matrix</x:v>
      </x:c>
      <x:c r="H19" s="38" t="str">
        <x:v>Program lead</x:v>
      </x:c>
    </x:row>
    <x:row r="20" ht="15" hidden="0" customHeight="1">
      <x:c r="A20" s="9" t="str">
        <x:v>Prioritize</x:v>
      </x:c>
      <x:c r="B20" s="9" t="str">
        <x:v>Are uncertainty and evidence strength visible in decisions?</x:v>
      </x:c>
      <x:c r="C20" s="9" t="str">
        <x:v>Evidence labels</x:v>
      </x:c>
      <x:c r="D20" s="38" t="n">
        <x:v>2</x:v>
      </x:c>
      <x:c r="E20" s="38" t="str">
        <x:v>Projected</x:v>
      </x:c>
      <x:c r="F20" s="9" t="n">
        <x:f>5-D20</x:f>
        <x:v>3</x:v>
      </x:c>
      <x:c r="G20" s="38" t="str">
        <x:v>Label projected, observed, and validated results</x:v>
      </x:c>
      <x:c r="H20" s="38" t="str">
        <x:v>Pilot owner</x:v>
      </x:c>
    </x:row>
    <x:row r="21" ht="15" hidden="0" customHeight="1">
      <x:c r="A21" s="9" t="str">
        <x:v>Prioritize</x:v>
      </x:c>
      <x:c r="B21" s="9" t="str">
        <x:v>Are scale decisions tied to measurable readiness gates?</x:v>
      </x:c>
      <x:c r="C21" s="9" t="str">
        <x:v>Go/no-go criteria</x:v>
      </x:c>
      <x:c r="D21" s="38" t="n">
        <x:v>2</x:v>
      </x:c>
      <x:c r="E21" s="38" t="str">
        <x:v>Observed</x:v>
      </x:c>
      <x:c r="F21" s="9" t="n">
        <x:f>5-D21</x:f>
        <x:v>3</x:v>
      </x:c>
      <x:c r="G21" s="38" t="str">
        <x:v>Define readiness and rollback thresholds</x:v>
      </x:c>
      <x:c r="H21" s="38" t="str">
        <x:v>Sponsor</x:v>
      </x:c>
    </x:row>
    <x:row r="22" ht="15" hidden="0" customHeight="1">
      <x:c r="A22" s="9" t="str">
        <x:v>Act &amp; Govern</x:v>
      </x:c>
      <x:c r="B22" s="9" t="str">
        <x:v>Are owners, escalation paths, and service levels explicit?</x:v>
      </x:c>
      <x:c r="C22" s="9" t="str">
        <x:v>RACI and escalation map</x:v>
      </x:c>
      <x:c r="D22" s="38" t="n">
        <x:v>3</x:v>
      </x:c>
      <x:c r="E22" s="38" t="str">
        <x:v>Observed</x:v>
      </x:c>
      <x:c r="F22" s="9" t="n">
        <x:f>5-D22</x:f>
        <x:v>2</x:v>
      </x:c>
      <x:c r="G22" s="38" t="str">
        <x:v>Confirm cross-organization ownership</x:v>
      </x:c>
      <x:c r="H22" s="38" t="str">
        <x:v>Sponsor</x:v>
      </x:c>
    </x:row>
    <x:row r="23" ht="15" hidden="0" customHeight="1">
      <x:c r="A23" s="9" t="str">
        <x:v>Act &amp; Govern</x:v>
      </x:c>
      <x:c r="B23" s="9" t="str">
        <x:v>Do high-risk automated recommendations receive human review?</x:v>
      </x:c>
      <x:c r="C23" s="9" t="str">
        <x:v>Approval log</x:v>
      </x:c>
      <x:c r="D23" s="38" t="n">
        <x:v>4</x:v>
      </x:c>
      <x:c r="E23" s="38" t="str">
        <x:v>Validated</x:v>
      </x:c>
      <x:c r="F23" s="9" t="n">
        <x:f>5-D23</x:f>
        <x:v>1</x:v>
      </x:c>
      <x:c r="G23" s="38" t="str">
        <x:v>Maintain human approval controls</x:v>
      </x:c>
      <x:c r="H23" s="38" t="str">
        <x:v>Safety owner</x:v>
      </x:c>
    </x:row>
    <x:row r="24" ht="15" hidden="0" customHeight="1">
      <x:c r="A24" s="21" t="str">
        <x:v>Act &amp; Govern</x:v>
      </x:c>
      <x:c r="B24" s="21" t="str">
        <x:v>Are improvements validated and recurrence monitored?</x:v>
      </x:c>
      <x:c r="C24" s="21" t="str">
        <x:v>Post-change audit</x:v>
      </x:c>
      <x:c r="D24" s="43" t="n">
        <x:v>2</x:v>
      </x:c>
      <x:c r="E24" s="43" t="str">
        <x:v>Projected</x:v>
      </x:c>
      <x:c r="F24" s="21" t="n">
        <x:f>5-D24</x:f>
        <x:v>3</x:v>
      </x:c>
      <x:c r="G24" s="43" t="str">
        <x:v>Track recurrence after corrective action</x:v>
      </x:c>
      <x:c r="H24" s="43" t="str">
        <x:v>Quality lead</x:v>
      </x:c>
    </x:row>
    <x:row r="25" ht="15" hidden="0" customHeight="1">
      <x:c r="A25" s="9"/>
      <x:c r="B25" s="9"/>
      <x:c r="C25" s="9"/>
      <x:c r="D25" s="9"/>
      <x:c r="E25" s="9"/>
      <x:c r="F25" s="9"/>
      <x:c r="G25" s="9"/>
      <x:c r="H25" s="9"/>
    </x:row>
    <x:row r="26">
      <x:c r="A26" s="24" t="str">
        <x:v>Rating anchors: 1 = ad hoc; 2 = defined but inconsistent; 3 = repeatable in a bounded scope; 4 = integrated across teams or partners; 5 = scaled, monitored, and continuously improved. Ratings require evidence; aspiration alone does not raise maturity.</x:v>
      </x:c>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ht="15" hidden="0" customHeight="1">
      <x:c r="A29" s="9"/>
      <x:c r="B29" s="9"/>
      <x:c r="C29" s="9"/>
      <x:c r="D29" s="9"/>
      <x:c r="E29" s="9"/>
      <x:c r="F29" s="9"/>
      <x:c r="G29" s="9"/>
      <x:c r="H29" s="9"/>
    </x:row>
  </x:sheetData>
  <x:mergeCells>
    <x:mergeCell ref="A2:H2"/>
    <x:mergeCell ref="A3:H3"/>
    <x:mergeCell ref="A26:H28"/>
  </x:mergeCells>
  <x:conditionalFormatting sqref="D13:D24">
    <x:cfRule type="colorScale" priority="1">
      <x:colorScale>
        <x:cfvo type="min"/>
        <x:cfvo type="percentile" val="50"/>
        <x:cfvo type="max"/>
        <x:color rgb="FFF8696B"/>
        <x:color rgb="FFFFEB84"/>
        <x:color rgb="FF63BE7B"/>
      </x:colorScale>
    </x:cfRule>
  </x:conditionalFormatting>
  <x:dataValidations count="2">
    <x:dataValidation type="whole" operator="between" sqref="D13:D24">
      <x:formula1>1</x:formula1>
      <x:formula2>5</x:formula2>
    </x:dataValidation>
    <x:dataValidation type="list" sqref="E13:E24">
      <x:formula1>"Projected,Observed,Validated,Missing"</x:formula1>
    </x:dataValidation>
  </x:dataValidations>
  <x:pageMargins left="0.7" right="0.7" top="0.75" bottom="0.75" header="0.3" footer="0.3"/>
</x:worksheet>
</file>

<file path=xl/worksheets/sheet6.xml><?xml version="1.0" encoding="utf-8"?>
<x:worksheet xmlns:x="http://schemas.openxmlformats.org/spreadsheetml/2006/main">
  <x:sheetPr>
    <x:tabColor rgb="FF2C7A7B"/>
  </x:sheetPr>
  <x:sheetViews>
    <x:sheetView showGridLines="0" workbookViewId="0">
      <x:pane ySplit="4" topLeftCell="A5" activePane="bottomLeft" state="frozen"/>
    </x:sheetView>
  </x:sheetViews>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s>
  <x:sheetData>
    <x:row r="1" ht="15" hidden="0" customHeight="1">
      <x:c r="A1" s="9"/>
      <x:c r="B1" s="9"/>
      <x:c r="C1" s="9"/>
      <x:c r="D1" s="9"/>
      <x:c r="E1" s="9"/>
      <x:c r="F1" s="9"/>
    </x:row>
    <x:row r="2" ht="24" hidden="0" customHeight="1">
      <x:c r="A2" s="53" t="str">
        <x:v>Limited Pilot Charter</x:v>
      </x:c>
      <x:c r="B2" s="9"/>
      <x:c r="C2" s="9"/>
      <x:c r="D2" s="9"/>
      <x:c r="E2" s="9"/>
      <x:c r="F2" s="9"/>
    </x:row>
    <x:row r="3" ht="20" hidden="0" customHeight="1">
      <x:c r="A3" s="54" t="str">
        <x:v>Synthetic surveillance-robotics example. Define a bounded test before measuring outcomes.</x:v>
      </x:c>
      <x:c r="B3" s="9"/>
      <x:c r="C3" s="9"/>
      <x:c r="D3" s="9"/>
      <x:c r="E3" s="9"/>
      <x:c r="F3" s="9"/>
    </x:row>
    <x:row r="4" ht="15" hidden="0" customHeight="1">
      <x:c r="A4" s="55"/>
      <x:c r="B4" s="55"/>
      <x:c r="C4" s="55"/>
      <x:c r="D4" s="55"/>
      <x:c r="E4" s="55"/>
      <x:c r="F4" s="55"/>
    </x:row>
    <x:row r="5" ht="15" hidden="0" customHeight="1">
      <x:c r="A5" s="9"/>
      <x:c r="B5" s="9"/>
      <x:c r="C5" s="9"/>
      <x:c r="D5" s="9"/>
      <x:c r="E5" s="9"/>
      <x:c r="F5" s="9"/>
    </x:row>
    <x:row r="6" ht="15" hidden="0" customHeight="1">
      <x:c r="A6" s="56" t="str">
        <x:v>Pilot identity</x:v>
      </x:c>
      <x:c r="B6" s="56"/>
      <x:c r="C6" s="56"/>
      <x:c r="D6" s="56"/>
      <x:c r="E6" s="56"/>
      <x:c r="F6" s="56"/>
    </x:row>
    <x:row r="7" ht="15" hidden="0" customHeight="1">
      <x:c r="A7" s="65" t="str">
        <x:v>Pilot name</x:v>
      </x:c>
      <x:c r="B7" s="65"/>
      <x:c r="C7" s="38" t="str">
        <x:v>Alert triage and operational-readiness pilot</x:v>
      </x:c>
      <x:c r="D7" s="38"/>
      <x:c r="E7" s="38"/>
      <x:c r="F7" s="38"/>
    </x:row>
    <x:row r="8" ht="15" hidden="0" customHeight="1">
      <x:c r="A8" s="65" t="str">
        <x:v>Organization</x:v>
      </x:c>
      <x:c r="B8" s="65"/>
      <x:c r="C8" s="38" t="str">
        <x:v>Synthetic Robotics Co.</x:v>
      </x:c>
      <x:c r="D8" s="38"/>
      <x:c r="E8" s="38"/>
      <x:c r="F8" s="38"/>
    </x:row>
    <x:row r="9" ht="15" hidden="0" customHeight="1">
      <x:c r="A9" s="65" t="str">
        <x:v>Pilot owner</x:v>
      </x:c>
      <x:c r="B9" s="65"/>
      <x:c r="C9" s="38" t="str">
        <x:v>Program lead</x:v>
      </x:c>
      <x:c r="D9" s="38"/>
      <x:c r="E9" s="38"/>
      <x:c r="F9" s="38"/>
    </x:row>
    <x:row r="10" ht="15" hidden="0" customHeight="1">
      <x:c r="A10" s="65" t="str">
        <x:v>Planned period</x:v>
      </x:c>
      <x:c r="B10" s="65"/>
      <x:c r="C10" s="38" t="str">
        <x:v>Six weeks</x:v>
      </x:c>
      <x:c r="D10" s="38"/>
      <x:c r="E10" s="38"/>
      <x:c r="F10" s="38"/>
    </x:row>
    <x:row r="11" ht="15" hidden="0" customHeight="1">
      <x:c r="A11" s="9"/>
      <x:c r="B11" s="9"/>
      <x:c r="C11" s="9"/>
      <x:c r="D11" s="9"/>
      <x:c r="E11" s="9"/>
      <x:c r="F11" s="9"/>
    </x:row>
    <x:row r="12" ht="15" hidden="0" customHeight="1">
      <x:c r="A12" s="56" t="str">
        <x:v>Problem and scope</x:v>
      </x:c>
      <x:c r="B12" s="56"/>
      <x:c r="C12" s="56"/>
      <x:c r="D12" s="56"/>
      <x:c r="E12" s="56"/>
      <x:c r="F12" s="56"/>
    </x:row>
    <x:row r="13" ht="15" hidden="0" customHeight="1">
      <x:c r="A13" s="65" t="str">
        <x:v>Problem statement</x:v>
      </x:c>
      <x:c r="B13" s="65"/>
      <x:c r="C13" s="38" t="str">
        <x:v>Operators receive high alert volume with inconsistent actionability and limited evidence about false positives.</x:v>
      </x:c>
      <x:c r="D13" s="38"/>
      <x:c r="E13" s="38"/>
      <x:c r="F13" s="38"/>
    </x:row>
    <x:row r="14" ht="15" hidden="0" customHeight="1">
      <x:c r="A14" s="65" t="str">
        <x:v>In scope</x:v>
      </x:c>
      <x:c r="B14" s="65"/>
      <x:c r="C14" s="38" t="str">
        <x:v>One site, one alert class, defined operating hours, and trained reviewers.</x:v>
      </x:c>
      <x:c r="D14" s="38"/>
      <x:c r="E14" s="38"/>
      <x:c r="F14" s="38"/>
    </x:row>
    <x:row r="15" ht="15" hidden="0" customHeight="1">
      <x:c r="A15" s="65" t="str">
        <x:v>Out of scope</x:v>
      </x:c>
      <x:c r="B15" s="65"/>
      <x:c r="C15" s="38" t="str">
        <x:v>Autonomous enforcement, identity decisions, public deployment, and changes to safety policy.</x:v>
      </x:c>
      <x:c r="D15" s="38"/>
      <x:c r="E15" s="38"/>
      <x:c r="F15" s="38"/>
    </x:row>
    <x:row r="16" ht="24" hidden="0" customHeight="1">
      <x:c r="A16" s="65" t="str">
        <x:v>Primary hypothesis</x:v>
      </x:c>
      <x:c r="B16" s="65"/>
      <x:c r="C16" s="38" t="str">
        <x:v>A structured validation and prioritization workflow can improve actionable-alert precision and reduce review time without weakening human oversight.</x:v>
      </x:c>
      <x:c r="D16" s="38"/>
      <x:c r="E16" s="38"/>
      <x:c r="F16" s="38"/>
    </x:row>
    <x:row r="17" ht="15" hidden="0" customHeight="1">
      <x:c r="A17" s="65" t="str">
        <x:v>Stop condition</x:v>
      </x:c>
      <x:c r="B17" s="65"/>
      <x:c r="C17" s="38" t="str">
        <x:v>Pause if high-risk events bypass review, required evidence is missing, or incident severity increases.</x:v>
      </x:c>
      <x:c r="D17" s="38"/>
      <x:c r="E17" s="38"/>
      <x:c r="F17" s="38"/>
    </x:row>
    <x:row r="18" ht="15" hidden="0" customHeight="1">
      <x:c r="A18" s="9"/>
      <x:c r="B18" s="9"/>
      <x:c r="C18" s="9"/>
      <x:c r="D18" s="9"/>
      <x:c r="E18" s="9"/>
      <x:c r="F18" s="9"/>
    </x:row>
    <x:row r="19" ht="15" hidden="0" customHeight="1">
      <x:c r="A19" s="56" t="str">
        <x:v>Measures and evidence</x:v>
      </x:c>
      <x:c r="B19" s="56"/>
      <x:c r="C19" s="56"/>
      <x:c r="D19" s="56"/>
      <x:c r="E19" s="56"/>
      <x:c r="F19" s="56"/>
    </x:row>
    <x:row r="20" ht="15" hidden="0" customHeight="1">
      <x:c r="A20" s="65" t="str">
        <x:v>Baseline period</x:v>
      </x:c>
      <x:c r="B20" s="65"/>
      <x:c r="C20" s="38" t="str">
        <x:v>Two weeks before workflow change</x:v>
      </x:c>
      <x:c r="D20" s="38"/>
      <x:c r="E20" s="38"/>
      <x:c r="F20" s="38"/>
    </x:row>
    <x:row r="21" ht="15" hidden="0" customHeight="1">
      <x:c r="A21" s="65" t="str">
        <x:v>Primary outcome</x:v>
      </x:c>
      <x:c r="B21" s="65"/>
      <x:c r="C21" s="38" t="str">
        <x:v>Actionable alert precision</x:v>
      </x:c>
      <x:c r="D21" s="38"/>
      <x:c r="E21" s="38"/>
      <x:c r="F21" s="38"/>
    </x:row>
    <x:row r="22" ht="15" hidden="0" customHeight="1">
      <x:c r="A22" s="65" t="str">
        <x:v>Secondary outcomes</x:v>
      </x:c>
      <x:c r="B22" s="65"/>
      <x:c r="C22" s="38" t="str">
        <x:v>Review time, SLA compliance, recurrence, and operator escalation rate</x:v>
      </x:c>
      <x:c r="D22" s="38"/>
      <x:c r="E22" s="38"/>
      <x:c r="F22" s="38"/>
    </x:row>
    <x:row r="23" ht="15" hidden="0" customHeight="1">
      <x:c r="A23" s="65" t="str">
        <x:v>Minimum sample</x:v>
      </x:c>
      <x:c r="B23" s="65"/>
      <x:c r="C23" s="38" t="str">
        <x:v>At least 100 alerts, including all high-risk alerts</x:v>
      </x:c>
      <x:c r="D23" s="38"/>
      <x:c r="E23" s="38"/>
      <x:c r="F23" s="38"/>
    </x:row>
    <x:row r="24" ht="15" hidden="0" customHeight="1">
      <x:c r="A24" s="65" t="str">
        <x:v>Evidence classification</x:v>
      </x:c>
      <x:c r="B24" s="65"/>
      <x:c r="C24" s="38" t="str">
        <x:v>Observed until independently checked; validated after joint review</x:v>
      </x:c>
      <x:c r="D24" s="38"/>
      <x:c r="E24" s="38"/>
      <x:c r="F24" s="38"/>
    </x:row>
    <x:row r="25" ht="15" hidden="0" customHeight="1">
      <x:c r="A25" s="65" t="str">
        <x:v>Success gate</x:v>
      </x:c>
      <x:c r="B25" s="65"/>
      <x:c r="C25" s="38" t="str">
        <x:v>Precision &gt;=90%, required-field completeness &gt;=95%, and 100% human review of high-risk events</x:v>
      </x:c>
      <x:c r="D25" s="38"/>
      <x:c r="E25" s="38"/>
      <x:c r="F25" s="38"/>
    </x:row>
    <x:row r="26" ht="15" hidden="0" customHeight="1">
      <x:c r="A26" s="9"/>
      <x:c r="B26" s="9"/>
      <x:c r="C26" s="9"/>
      <x:c r="D26" s="9"/>
      <x:c r="E26" s="9"/>
      <x:c r="F26" s="9"/>
    </x:row>
    <x:row r="27" ht="15" hidden="0" customHeight="1">
      <x:c r="A27" s="56" t="str">
        <x:v>Governance and safeguards</x:v>
      </x:c>
      <x:c r="B27" s="56"/>
      <x:c r="C27" s="56"/>
      <x:c r="D27" s="56"/>
      <x:c r="E27" s="56"/>
      <x:c r="F27" s="56"/>
    </x:row>
    <x:row r="28" ht="15" hidden="0" customHeight="1">
      <x:c r="A28" s="65" t="str">
        <x:v>Human decision owner</x:v>
      </x:c>
      <x:c r="B28" s="65"/>
      <x:c r="C28" s="38" t="str">
        <x:v>Designated safety reviewer</x:v>
      </x:c>
      <x:c r="D28" s="38"/>
      <x:c r="E28" s="38"/>
      <x:c r="F28" s="38"/>
    </x:row>
    <x:row r="29" ht="15" hidden="0" customHeight="1">
      <x:c r="A29" s="65" t="str">
        <x:v>Data handling</x:v>
      </x:c>
      <x:c r="B29" s="65"/>
      <x:c r="C29" s="38" t="str">
        <x:v>Use de-identified operational records and minimum necessary fields</x:v>
      </x:c>
      <x:c r="D29" s="38"/>
      <x:c r="E29" s="38"/>
      <x:c r="F29" s="38"/>
    </x:row>
    <x:row r="30" ht="15" hidden="0" customHeight="1">
      <x:c r="A30" s="65" t="str">
        <x:v>Escalation path</x:v>
      </x:c>
      <x:c r="B30" s="65"/>
      <x:c r="C30" s="38" t="str">
        <x:v>Operator → pilot owner → safety owner → executive sponsor</x:v>
      </x:c>
      <x:c r="D30" s="38"/>
      <x:c r="E30" s="38"/>
      <x:c r="F30" s="38"/>
    </x:row>
    <x:row r="31" ht="15" hidden="0" customHeight="1">
      <x:c r="A31" s="65" t="str">
        <x:v>Rollback</x:v>
      </x:c>
      <x:c r="B31" s="65"/>
      <x:c r="C31" s="38" t="str">
        <x:v>Return to existing workflow and preserve audit log</x:v>
      </x:c>
      <x:c r="D31" s="38"/>
      <x:c r="E31" s="38"/>
      <x:c r="F31" s="38"/>
    </x:row>
    <x:row r="32" ht="15" hidden="0" customHeight="1">
      <x:c r="A32" s="65" t="str">
        <x:v>Review cadence</x:v>
      </x:c>
      <x:c r="B32" s="65"/>
      <x:c r="C32" s="38" t="str">
        <x:v>Weekly metric and incident review</x:v>
      </x:c>
      <x:c r="D32" s="38"/>
      <x:c r="E32" s="38"/>
      <x:c r="F32" s="38"/>
    </x:row>
    <x:row r="33" ht="15" hidden="0" customHeight="1">
      <x:c r="A33" s="65" t="str">
        <x:v>External statement rule</x:v>
      </x:c>
      <x:c r="B33" s="65"/>
      <x:c r="C33" s="38" t="str">
        <x:v>No public claim of impact until organization confirms the measured result</x:v>
      </x:c>
      <x:c r="D33" s="38"/>
      <x:c r="E33" s="38"/>
      <x:c r="F33" s="38"/>
    </x:row>
    <x:row r="34" ht="15" hidden="0" customHeight="1">
      <x:c r="A34" s="9"/>
      <x:c r="B34" s="9"/>
      <x:c r="C34" s="9"/>
      <x:c r="D34" s="9"/>
      <x:c r="E34" s="9"/>
      <x:c r="F34" s="9"/>
    </x:row>
    <x:row r="35" ht="15" hidden="0" customHeight="1">
      <x:c r="A35" s="56" t="str">
        <x:v>Approval gates</x:v>
      </x:c>
      <x:c r="B35" s="56"/>
      <x:c r="C35" s="56"/>
      <x:c r="D35" s="56"/>
      <x:c r="E35" s="56"/>
      <x:c r="F35" s="56"/>
    </x:row>
    <x:row r="36" ht="15" hidden="0" customHeight="1">
      <x:c r="A36" s="65" t="str">
        <x:v>Start approval</x:v>
      </x:c>
      <x:c r="B36" s="65"/>
      <x:c r="C36" s="38" t="str">
        <x:v>Pending</x:v>
      </x:c>
      <x:c r="D36" s="38"/>
      <x:c r="E36" s="38"/>
      <x:c r="F36" s="38"/>
    </x:row>
    <x:row r="37" ht="15" hidden="0" customHeight="1">
      <x:c r="A37" s="65" t="str">
        <x:v>Scale approval</x:v>
      </x:c>
      <x:c r="B37" s="65"/>
      <x:c r="C37" s="38" t="str">
        <x:v>Not eligible until evaluation is complete</x:v>
      </x:c>
      <x:c r="D37" s="38"/>
      <x:c r="E37" s="38"/>
      <x:c r="F37" s="38"/>
    </x:row>
    <x:row r="38" ht="15" hidden="0" customHeight="1">
      <x:c r="A38" s="9"/>
      <x:c r="B38" s="9"/>
      <x:c r="C38" s="9"/>
      <x:c r="D38" s="9"/>
      <x:c r="E38" s="9"/>
      <x:c r="F38" s="9"/>
    </x:row>
  </x:sheetData>
  <x:mergeCells>
    <x:mergeCell ref="A2:F2"/>
    <x:mergeCell ref="A3:F3"/>
    <x:mergeCell ref="A6:F6"/>
    <x:mergeCell ref="A12:F12"/>
    <x:mergeCell ref="A19:F19"/>
    <x:mergeCell ref="A27:F27"/>
    <x:mergeCell ref="A35:F35"/>
    <x:mergeCell ref="A7:B7"/>
    <x:mergeCell ref="C7:F7"/>
    <x:mergeCell ref="A8:B8"/>
    <x:mergeCell ref="C8:F8"/>
    <x:mergeCell ref="A9:B9"/>
    <x:mergeCell ref="C9:F9"/>
    <x:mergeCell ref="A10:B10"/>
    <x:mergeCell ref="C10:F10"/>
    <x:mergeCell ref="A13:B13"/>
    <x:mergeCell ref="C13:F13"/>
    <x:mergeCell ref="A14:B14"/>
    <x:mergeCell ref="C14:F14"/>
    <x:mergeCell ref="A15:B15"/>
    <x:mergeCell ref="C15:F15"/>
    <x:mergeCell ref="A16:B16"/>
    <x:mergeCell ref="C16:F16"/>
    <x:mergeCell ref="A17:B17"/>
    <x:mergeCell ref="C17:F17"/>
    <x:mergeCell ref="A20:B20"/>
    <x:mergeCell ref="C20:F20"/>
    <x:mergeCell ref="A21:B21"/>
    <x:mergeCell ref="C21:F21"/>
    <x:mergeCell ref="A22:B22"/>
    <x:mergeCell ref="C22:F22"/>
    <x:mergeCell ref="A23:B23"/>
    <x:mergeCell ref="C23:F23"/>
    <x:mergeCell ref="A24:B24"/>
    <x:mergeCell ref="C24:F24"/>
    <x:mergeCell ref="A25:B25"/>
    <x:mergeCell ref="C25:F25"/>
    <x:mergeCell ref="A28:B28"/>
    <x:mergeCell ref="C28:F28"/>
    <x:mergeCell ref="A29:B29"/>
    <x:mergeCell ref="C29:F29"/>
    <x:mergeCell ref="A30:B30"/>
    <x:mergeCell ref="C30:F30"/>
    <x:mergeCell ref="A31:B31"/>
    <x:mergeCell ref="C31:F31"/>
    <x:mergeCell ref="A32:B32"/>
    <x:mergeCell ref="C32:F32"/>
    <x:mergeCell ref="A33:B33"/>
    <x:mergeCell ref="C33:F33"/>
    <x:mergeCell ref="A36:B36"/>
    <x:mergeCell ref="C36:F36"/>
    <x:mergeCell ref="A37:B37"/>
    <x:mergeCell ref="C37:F37"/>
  </x:mergeCells>
  <x:dataValidations count="1">
    <x:dataValidation type="list" sqref="C36">
      <x:formula1>"Pending,Approved,Rejected"</x:formula1>
    </x:dataValidation>
  </x:dataValidations>
  <x:pageMargins left="0.7" right="0.7" top="0.75" bottom="0.75" header="0.3" footer="0.3"/>
</x:worksheet>
</file>

<file path=xl/worksheets/sheet7.xml><?xml version="1.0" encoding="utf-8"?>
<x:worksheet xmlns:x="http://schemas.openxmlformats.org/spreadsheetml/2006/main">
  <x:sheetPr>
    <x:tabColor rgb="FF2C7A7B"/>
  </x:sheetPr>
  <x:sheetViews>
    <x:sheetView showGridLines="0" workbookViewId="0">
      <x:pane ySplit="12" topLeftCell="A13" activePane="bottomLeft" state="frozen"/>
    </x:sheetView>
  </x:sheetViews>
  <x:sheetFormatPr defaultRowHeight="15"/>
  <x:cols>
    <x:col min="1" max="1" width="27" hidden="0" customWidth="1"/>
    <x:col min="2" max="2" width="18" hidden="0" customWidth="1"/>
    <x:col min="3" max="3" width="13" hidden="0" customWidth="1"/>
    <x:col min="4" max="4" width="13" hidden="0" customWidth="1"/>
    <x:col min="5" max="5" width="16" hidden="0" customWidth="1"/>
    <x:col min="6" max="6" width="16" hidden="0" customWidth="1"/>
    <x:col min="7" max="7" width="11" hidden="0" customWidth="1"/>
    <x:col min="8" max="8" width="11" hidden="0" customWidth="1"/>
    <x:col min="9" max="9" width="14" hidden="0" customWidth="1"/>
    <x:col min="10" max="10" width="18" hidden="0" customWidth="1"/>
    <x:col min="11" max="11" width="22" hidden="0" customWidth="1"/>
    <x:col min="12" max="12" width="40" hidden="0" customWidth="1"/>
  </x:cols>
  <x:sheetData>
    <x:row r="1" ht="15" hidden="0" customHeight="1">
      <x:c r="A1" s="9"/>
      <x:c r="B1" s="9"/>
      <x:c r="C1" s="9"/>
      <x:c r="D1" s="9"/>
      <x:c r="E1" s="9"/>
      <x:c r="F1" s="9"/>
      <x:c r="G1" s="9"/>
      <x:c r="H1" s="9"/>
      <x:c r="I1" s="9"/>
      <x:c r="J1" s="9"/>
      <x:c r="K1" s="9"/>
      <x:c r="L1" s="9"/>
    </x:row>
    <x:row r="2" ht="24" hidden="0" customHeight="1">
      <x:c r="A2" s="53" t="str">
        <x:v>Pilot Evaluation</x:v>
      </x:c>
      <x:c r="B2" s="9"/>
      <x:c r="C2" s="9"/>
      <x:c r="D2" s="9"/>
      <x:c r="E2" s="9"/>
      <x:c r="F2" s="9"/>
      <x:c r="G2" s="9"/>
      <x:c r="H2" s="9"/>
      <x:c r="I2" s="9"/>
      <x:c r="J2" s="9"/>
      <x:c r="K2" s="9"/>
      <x:c r="L2" s="9"/>
    </x:row>
    <x:row r="3" ht="20" hidden="0" customHeight="1">
      <x:c r="A3" s="54" t="str">
        <x:v>Compare baseline and pilot periods using consistent definitions and explicit evidence strength.</x:v>
      </x:c>
      <x:c r="B3" s="9"/>
      <x:c r="C3" s="9"/>
      <x:c r="D3" s="9"/>
      <x:c r="E3" s="9"/>
      <x:c r="F3" s="9"/>
      <x:c r="G3" s="9"/>
      <x:c r="H3" s="9"/>
      <x:c r="I3" s="9"/>
      <x:c r="J3" s="9"/>
      <x:c r="K3" s="9"/>
      <x:c r="L3" s="9"/>
    </x:row>
    <x:row r="4" ht="15" hidden="0" customHeight="1">
      <x:c r="A4" s="55"/>
      <x:c r="B4" s="55"/>
      <x:c r="C4" s="55"/>
      <x:c r="D4" s="55"/>
      <x:c r="E4" s="55"/>
      <x:c r="F4" s="55"/>
      <x:c r="G4" s="55"/>
      <x:c r="H4" s="55"/>
      <x:c r="I4" s="55"/>
      <x:c r="J4" s="55"/>
      <x:c r="K4" s="55"/>
      <x:c r="L4" s="55"/>
    </x:row>
    <x:row r="5" ht="15" hidden="0" customHeight="1">
      <x:c r="A5" s="9"/>
      <x:c r="B5" s="9"/>
      <x:c r="C5" s="9"/>
      <x:c r="D5" s="9"/>
      <x:c r="E5" s="9"/>
      <x:c r="F5" s="9"/>
      <x:c r="G5" s="9"/>
      <x:c r="H5" s="9"/>
      <x:c r="I5" s="9"/>
      <x:c r="J5" s="9"/>
      <x:c r="K5" s="9"/>
      <x:c r="L5" s="9"/>
    </x:row>
    <x:row r="6" ht="24" hidden="0" customHeight="1">
      <x:c r="A6" s="57" t="str">
        <x:v>Overall conclusion</x:v>
      </x:c>
      <x:c r="B6" s="59" t="str">
        <x:f>IF(B9&gt;0,"Control failure",IF(B7=0,"No demonstrated gain",IF(B8&lt;B7,"Promising; validation incomplete","Validated improvement")))</x:f>
        <x:v>Promising; validation incomplete</x:v>
      </x:c>
      <x:c r="C6" s="9"/>
      <x:c r="D6" s="9"/>
      <x:c r="E6" s="9"/>
      <x:c r="F6" s="9"/>
      <x:c r="G6" s="9"/>
      <x:c r="H6" s="9"/>
      <x:c r="I6" s="9"/>
      <x:c r="J6" s="9"/>
      <x:c r="K6" s="9"/>
      <x:c r="L6" s="9"/>
    </x:row>
    <x:row r="7" ht="15" hidden="0" customHeight="1">
      <x:c r="A7" s="57" t="str">
        <x:v>Measures meeting target</x:v>
      </x:c>
      <x:c r="B7" s="59" t="n">
        <x:f>COUNTIF(J14:J19,"Meets target")</x:f>
        <x:v>6</x:v>
      </x:c>
      <x:c r="C7" s="9"/>
      <x:c r="D7" s="9"/>
      <x:c r="E7" s="9"/>
      <x:c r="F7" s="9"/>
      <x:c r="G7" s="9"/>
      <x:c r="H7" s="9"/>
      <x:c r="I7" s="9"/>
      <x:c r="J7" s="9"/>
      <x:c r="K7" s="9"/>
      <x:c r="L7" s="9"/>
    </x:row>
    <x:row r="8" ht="15" hidden="0" customHeight="1">
      <x:c r="A8" s="57" t="str">
        <x:v>Validated measures</x:v>
      </x:c>
      <x:c r="B8" s="59" t="n">
        <x:f>COUNTIF(I14:I19,"Validated")</x:f>
        <x:v>3</x:v>
      </x:c>
      <x:c r="C8" s="9"/>
      <x:c r="D8" s="9"/>
      <x:c r="E8" s="9"/>
      <x:c r="F8" s="9"/>
      <x:c r="G8" s="9"/>
      <x:c r="H8" s="9"/>
      <x:c r="I8" s="9"/>
      <x:c r="J8" s="9"/>
      <x:c r="K8" s="9"/>
      <x:c r="L8" s="9"/>
    </x:row>
    <x:row r="9" ht="15" hidden="0" customHeight="1">
      <x:c r="A9" s="57" t="str">
        <x:v>Critical control failures</x:v>
      </x:c>
      <x:c r="B9" s="59" t="n">
        <x:f>COUNTIF(J14:J19,"Control failure")</x:f>
        <x:v>0</x:v>
      </x:c>
      <x:c r="C9" s="9"/>
      <x:c r="D9" s="9"/>
      <x:c r="E9" s="9"/>
      <x:c r="F9" s="9"/>
      <x:c r="G9" s="9"/>
      <x:c r="H9" s="9"/>
      <x:c r="I9" s="9"/>
      <x:c r="J9" s="9"/>
      <x:c r="K9" s="9"/>
      <x:c r="L9" s="9"/>
    </x:row>
    <x:row r="10" ht="24" hidden="0" customHeight="1">
      <x:c r="A10" s="57" t="str">
        <x:v>Scale recommendation</x:v>
      </x:c>
      <x:c r="B10" s="59" t="str">
        <x:f>IF(B9&gt;0,"Do not scale",IF(AND(B7&gt;=4,B8&gt;=2),"Consider bounded expansion","Continue limited pilot"))</x:f>
        <x:v>Consider bounded expansion</x:v>
      </x:c>
      <x:c r="C10" s="9"/>
      <x:c r="D10" s="9"/>
      <x:c r="E10" s="9"/>
      <x:c r="F10" s="9"/>
      <x:c r="G10" s="9"/>
      <x:c r="H10" s="9"/>
      <x:c r="I10" s="9"/>
      <x:c r="J10" s="9"/>
      <x:c r="K10" s="9"/>
      <x:c r="L10" s="9"/>
    </x:row>
    <x:row r="11" ht="15" hidden="0" customHeight="1">
      <x:c r="A11" s="9"/>
      <x:c r="B11" s="9"/>
      <x:c r="C11" s="9"/>
      <x:c r="D11" s="9"/>
      <x:c r="E11" s="9"/>
      <x:c r="F11" s="9"/>
      <x:c r="G11" s="9"/>
      <x:c r="H11" s="9"/>
      <x:c r="I11" s="9"/>
      <x:c r="J11" s="9"/>
      <x:c r="K11" s="9"/>
      <x:c r="L11" s="9"/>
    </x:row>
    <x:row r="12" ht="24" hidden="0" customHeight="1">
      <x:c r="A12" s="18" t="str">
        <x:v>Measure</x:v>
      </x:c>
      <x:c r="B12" s="19" t="str">
        <x:v>Direction</x:v>
      </x:c>
      <x:c r="C12" s="19" t="str">
        <x:v>Baseline</x:v>
      </x:c>
      <x:c r="D12" s="19" t="str">
        <x:v>Pilot</x:v>
      </x:c>
      <x:c r="E12" s="19" t="str">
        <x:v>Target improvement</x:v>
      </x:c>
      <x:c r="F12" s="19" t="str">
        <x:v>Observed improvement</x:v>
      </x:c>
      <x:c r="G12" s="19" t="str">
        <x:v>Baseline n</x:v>
      </x:c>
      <x:c r="H12" s="19" t="str">
        <x:v>Pilot n</x:v>
      </x:c>
      <x:c r="I12" s="19" t="str">
        <x:v>Evidence class</x:v>
      </x:c>
      <x:c r="J12" s="19" t="str">
        <x:v>Result</x:v>
      </x:c>
      <x:c r="K12" s="19" t="str">
        <x:v>Source</x:v>
      </x:c>
      <x:c r="L12" s="20" t="str">
        <x:v>Interpretation / action</x:v>
      </x:c>
    </x:row>
    <x:row r="13" ht="15" hidden="0" customHeight="1">
      <x:c r="A13" s="9"/>
      <x:c r="B13" s="9"/>
      <x:c r="C13" s="9"/>
      <x:c r="D13" s="9"/>
      <x:c r="E13" s="9"/>
      <x:c r="F13" s="9"/>
      <x:c r="G13" s="9"/>
      <x:c r="H13" s="9"/>
      <x:c r="I13" s="9"/>
      <x:c r="J13" s="9"/>
      <x:c r="K13" s="9"/>
      <x:c r="L13" s="9"/>
    </x:row>
    <x:row r="14" ht="15" hidden="0" customHeight="1">
      <x:c r="A14" s="38" t="str">
        <x:v>Actionable alert precision</x:v>
      </x:c>
      <x:c r="B14" s="38" t="str">
        <x:v>Higher is better</x:v>
      </x:c>
      <x:c r="C14" s="39" t="n">
        <x:v>0.72</x:v>
      </x:c>
      <x:c r="D14" s="39" t="n">
        <x:v>0.91</x:v>
      </x:c>
      <x:c r="E14" s="39" t="n">
        <x:v>0.15</x:v>
      </x:c>
      <x:c r="F14" s="40" t="n">
        <x:f>IF(OR(C14="",D14=""),"",IF(B14="Higher is better",(D14-C14)/ABS(C14),IF(C14=0,"",(C14-D14)/ABS(C14))))</x:f>
        <x:v>0.263888888888889</x:v>
      </x:c>
      <x:c r="G14" s="38" t="n">
        <x:v>50</x:v>
      </x:c>
      <x:c r="H14" s="38" t="n">
        <x:v>120</x:v>
      </x:c>
      <x:c r="I14" s="38" t="str">
        <x:v>Validated</x:v>
      </x:c>
      <x:c r="J14" s="9" t="str">
        <x:f>IF(A14="High-risk human review",IF(D14&lt;100%,"Control failure",IF(F14&gt;=E14,"Meets target","Below target")),IF(OR(G14&lt;30,H14&lt;30,I14="Projected"),"Directional only",IF(F14&gt;=E14,"Meets target","Below target")))</x:f>
        <x:v>Meets target</x:v>
      </x:c>
      <x:c r="K14" s="38" t="str">
        <x:v>Joint sample audit</x:v>
      </x:c>
      <x:c r="L14" s="38" t="str">
        <x:v>Monitor precision as volume expands</x:v>
      </x:c>
    </x:row>
    <x:row r="15" ht="15" hidden="0" customHeight="1">
      <x:c r="A15" s="38" t="str">
        <x:v>Median review time (minutes)</x:v>
      </x:c>
      <x:c r="B15" s="38" t="str">
        <x:v>Lower is better</x:v>
      </x:c>
      <x:c r="C15" s="38" t="n">
        <x:v>11</x:v>
      </x:c>
      <x:c r="D15" s="38" t="n">
        <x:v>7.5</x:v>
      </x:c>
      <x:c r="E15" s="39" t="n">
        <x:v>0.2</x:v>
      </x:c>
      <x:c r="F15" s="40" t="n">
        <x:f>IF(OR(C15="",D15=""),"",IF(B15="Higher is better",(D15-C15)/ABS(C15),IF(C15=0,"",(C15-D15)/ABS(C15))))</x:f>
        <x:v>0.3181818181818182</x:v>
      </x:c>
      <x:c r="G15" s="38" t="n">
        <x:v>50</x:v>
      </x:c>
      <x:c r="H15" s="38" t="n">
        <x:v>120</x:v>
      </x:c>
      <x:c r="I15" s="38" t="str">
        <x:v>Observed</x:v>
      </x:c>
      <x:c r="J15" s="9" t="str">
        <x:f>IF(A15="High-risk human review",IF(D15&lt;100%,"Control failure",IF(F15&gt;=E15,"Meets target","Below target")),IF(OR(G15&lt;30,H15&lt;30,I15="Projected"),"Directional only",IF(F15&gt;=E15,"Meets target","Below target")))</x:f>
        <x:v>Meets target</x:v>
      </x:c>
      <x:c r="K15" s="38" t="str">
        <x:v>Time study</x:v>
      </x:c>
      <x:c r="L15" s="38" t="str">
        <x:v>Validate time capture</x:v>
      </x:c>
    </x:row>
    <x:row r="16" ht="15" hidden="0" customHeight="1">
      <x:c r="A16" s="38" t="str">
        <x:v>Required fields complete</x:v>
      </x:c>
      <x:c r="B16" s="38" t="str">
        <x:v>Higher is better</x:v>
      </x:c>
      <x:c r="C16" s="39" t="n">
        <x:v>0.92</x:v>
      </x:c>
      <x:c r="D16" s="39" t="n">
        <x:v>0.98</x:v>
      </x:c>
      <x:c r="E16" s="39" t="n">
        <x:v>0.03</x:v>
      </x:c>
      <x:c r="F16" s="40" t="n">
        <x:f>IF(OR(C16="",D16=""),"",IF(B16="Higher is better",(D16-C16)/ABS(C16),IF(C16=0,"",(C16-D16)/ABS(C16))))</x:f>
        <x:v>0.06521739130434775</x:v>
      </x:c>
      <x:c r="G16" s="38" t="n">
        <x:v>50</x:v>
      </x:c>
      <x:c r="H16" s="38" t="n">
        <x:v>120</x:v>
      </x:c>
      <x:c r="I16" s="38" t="str">
        <x:v>Validated</x:v>
      </x:c>
      <x:c r="J16" s="9" t="str">
        <x:f>IF(A16="High-risk human review",IF(D16&lt;100%,"Control failure",IF(F16&gt;=E16,"Meets target","Below target")),IF(OR(G16&lt;30,H16&lt;30,I16="Projected"),"Directional only",IF(F16&gt;=E16,"Meets target","Below target")))</x:f>
        <x:v>Meets target</x:v>
      </x:c>
      <x:c r="K16" s="38" t="str">
        <x:v>Record audit</x:v>
      </x:c>
      <x:c r="L16" s="38" t="str">
        <x:v>Maintain required-field control</x:v>
      </x:c>
    </x:row>
    <x:row r="17" ht="15" hidden="0" customHeight="1">
      <x:c r="A17" s="38" t="str">
        <x:v>High-risk human review</x:v>
      </x:c>
      <x:c r="B17" s="38" t="str">
        <x:v>Higher is better</x:v>
      </x:c>
      <x:c r="C17" s="39" t="n">
        <x:v>1</x:v>
      </x:c>
      <x:c r="D17" s="39" t="n">
        <x:v>1</x:v>
      </x:c>
      <x:c r="E17" s="39" t="n">
        <x:v>0</x:v>
      </x:c>
      <x:c r="F17" s="40" t="n">
        <x:f>IF(OR(C17="",D17=""),"",IF(B17="Higher is better",(D17-C17)/ABS(C17),IF(C17=0,"",(C17-D17)/ABS(C17))))</x:f>
        <x:v>0</x:v>
      </x:c>
      <x:c r="G17" s="38" t="n">
        <x:v>12</x:v>
      </x:c>
      <x:c r="H17" s="38" t="n">
        <x:v>31</x:v>
      </x:c>
      <x:c r="I17" s="38" t="str">
        <x:v>Validated</x:v>
      </x:c>
      <x:c r="J17" s="9" t="str">
        <x:f>IF(A17="High-risk human review",IF(D17&lt;100%,"Control failure",IF(F17&gt;=E17,"Meets target","Below target")),IF(OR(G17&lt;30,H17&lt;30,I17="Projected"),"Directional only",IF(F17&gt;=E17,"Meets target","Below target")))</x:f>
        <x:v>Meets target</x:v>
      </x:c>
      <x:c r="K17" s="38" t="str">
        <x:v>Approval log</x:v>
      </x:c>
      <x:c r="L17" s="38" t="str">
        <x:v>Required control; any miss is failure</x:v>
      </x:c>
    </x:row>
    <x:row r="18" ht="15" hidden="0" customHeight="1">
      <x:c r="A18" s="38" t="str">
        <x:v>SLA compliance</x:v>
      </x:c>
      <x:c r="B18" s="38" t="str">
        <x:v>Higher is better</x:v>
      </x:c>
      <x:c r="C18" s="39" t="n">
        <x:v>0.88</x:v>
      </x:c>
      <x:c r="D18" s="39" t="n">
        <x:v>0.94</x:v>
      </x:c>
      <x:c r="E18" s="39" t="n">
        <x:v>0.05</x:v>
      </x:c>
      <x:c r="F18" s="40" t="n">
        <x:f>IF(OR(C18="",D18=""),"",IF(B18="Higher is better",(D18-C18)/ABS(C18),IF(C18=0,"",(C18-D18)/ABS(C18))))</x:f>
        <x:v>0.06818181818181812</x:v>
      </x:c>
      <x:c r="G18" s="38" t="n">
        <x:v>50</x:v>
      </x:c>
      <x:c r="H18" s="38" t="n">
        <x:v>120</x:v>
      </x:c>
      <x:c r="I18" s="38" t="str">
        <x:v>Observed</x:v>
      </x:c>
      <x:c r="J18" s="9" t="str">
        <x:f>IF(A18="High-risk human review",IF(D18&lt;100%,"Control failure",IF(F18&gt;=E18,"Meets target","Below target")),IF(OR(G18&lt;30,H18&lt;30,I18="Projected"),"Directional only",IF(F18&gt;=E18,"Meets target","Below target")))</x:f>
        <x:v>Meets target</x:v>
      </x:c>
      <x:c r="K18" s="38" t="str">
        <x:v>Ticket log</x:v>
      </x:c>
      <x:c r="L18" s="38" t="str">
        <x:v>Watch peak-hour backlog</x:v>
      </x:c>
    </x:row>
    <x:row r="19" ht="15" hidden="0" customHeight="1">
      <x:c r="A19" s="43" t="str">
        <x:v>Repeat incident rate</x:v>
      </x:c>
      <x:c r="B19" s="43" t="str">
        <x:v>Lower is better</x:v>
      </x:c>
      <x:c r="C19" s="44" t="n">
        <x:v>0.18</x:v>
      </x:c>
      <x:c r="D19" s="44" t="n">
        <x:v>0.13</x:v>
      </x:c>
      <x:c r="E19" s="44" t="n">
        <x:v>0.2</x:v>
      </x:c>
      <x:c r="F19" s="45" t="n">
        <x:f>IF(OR(C19="",D19=""),"",IF(B19="Higher is better",(D19-C19)/ABS(C19),IF(C19=0,"",(C19-D19)/ABS(C19))))</x:f>
        <x:v>0.27777777777777773</x:v>
      </x:c>
      <x:c r="G19" s="43" t="n">
        <x:v>33</x:v>
      </x:c>
      <x:c r="H19" s="43" t="n">
        <x:v>47</x:v>
      </x:c>
      <x:c r="I19" s="43" t="str">
        <x:v>Observed</x:v>
      </x:c>
      <x:c r="J19" s="21" t="str">
        <x:f>IF(A19="High-risk human review",IF(D19&lt;100%,"Control failure",IF(F19&gt;=E19,"Meets target","Below target")),IF(OR(G19&lt;30,H19&lt;30,I19="Projected"),"Directional only",IF(F19&gt;=E19,"Meets target","Below target")))</x:f>
        <x:v>Meets target</x:v>
      </x:c>
      <x:c r="K19" s="43" t="str">
        <x:v>Incident records</x:v>
      </x:c>
      <x:c r="L19" s="43" t="str">
        <x:v>Collect longer recurrence window</x:v>
      </x:c>
    </x:row>
    <x:row r="20" ht="15" hidden="0" customHeight="1">
      <x:c r="A20" s="9"/>
      <x:c r="B20" s="9"/>
      <x:c r="C20" s="9"/>
      <x:c r="D20" s="9"/>
      <x:c r="E20" s="9"/>
      <x:c r="F20" s="9"/>
      <x:c r="G20" s="9"/>
      <x:c r="H20" s="9"/>
      <x:c r="I20" s="9"/>
      <x:c r="J20" s="9"/>
      <x:c r="K20" s="9"/>
      <x:c r="L20" s="9"/>
    </x:row>
    <x:row r="21">
      <x:c r="A21" s="24" t="str">
        <x:v>Evaluation standard: Keep metric definitions, denominators, inclusion rules, and operating scope consistent between baseline and pilot periods. A positive result is not sufficient for scale if safety controls fail, samples are too small, or evidence remains projected. Record confounding changes and limitations in the interpretation field.</x:v>
      </x:c>
      <x:c r="B21" s="24"/>
      <x:c r="C21" s="24"/>
      <x:c r="D21" s="24"/>
      <x:c r="E21" s="24"/>
      <x:c r="F21" s="24"/>
      <x:c r="G21" s="24"/>
      <x:c r="H21" s="24"/>
      <x:c r="I21" s="24"/>
      <x:c r="J21" s="24"/>
      <x:c r="K21" s="24"/>
      <x:c r="L21" s="24"/>
    </x:row>
    <x:row r="22">
      <x:c r="A22" s="24"/>
      <x:c r="B22" s="24"/>
      <x:c r="C22" s="24"/>
      <x:c r="D22" s="24"/>
      <x:c r="E22" s="24"/>
      <x:c r="F22" s="24"/>
      <x:c r="G22" s="24"/>
      <x:c r="H22" s="24"/>
      <x:c r="I22" s="24"/>
      <x:c r="J22" s="24"/>
      <x:c r="K22" s="24"/>
      <x:c r="L22" s="24"/>
    </x:row>
    <x:row r="23">
      <x:c r="A23" s="24"/>
      <x:c r="B23" s="24"/>
      <x:c r="C23" s="24"/>
      <x:c r="D23" s="24"/>
      <x:c r="E23" s="24"/>
      <x:c r="F23" s="24"/>
      <x:c r="G23" s="24"/>
      <x:c r="H23" s="24"/>
      <x:c r="I23" s="24"/>
      <x:c r="J23" s="24"/>
      <x:c r="K23" s="24"/>
      <x:c r="L23" s="24"/>
    </x:row>
    <x:row r="24">
      <x:c r="A24" s="24"/>
      <x:c r="B24" s="24"/>
      <x:c r="C24" s="24"/>
      <x:c r="D24" s="24"/>
      <x:c r="E24" s="24"/>
      <x:c r="F24" s="24"/>
      <x:c r="G24" s="24"/>
      <x:c r="H24" s="24"/>
      <x:c r="I24" s="24"/>
      <x:c r="J24" s="24"/>
      <x:c r="K24" s="24"/>
      <x:c r="L24" s="24"/>
    </x:row>
    <x:row r="25" ht="15" hidden="0" customHeight="1">
      <x:c r="A25" s="9"/>
      <x:c r="B25" s="9"/>
      <x:c r="C25" s="9"/>
      <x:c r="D25" s="9"/>
      <x:c r="E25" s="9"/>
      <x:c r="F25" s="9"/>
      <x:c r="G25" s="9"/>
      <x:c r="H25" s="9"/>
      <x:c r="I25" s="9"/>
      <x:c r="J25" s="9"/>
      <x:c r="K25" s="9"/>
      <x:c r="L25" s="9"/>
    </x:row>
    <x:row r="26" ht="15" hidden="0" customHeight="1">
      <x:c r="A26" s="9"/>
      <x:c r="B26" s="9"/>
      <x:c r="C26" s="9"/>
      <x:c r="D26" s="9"/>
      <x:c r="E26" s="9"/>
      <x:c r="F26" s="9"/>
      <x:c r="G26" s="9"/>
      <x:c r="H26" s="9"/>
      <x:c r="I26" s="9"/>
      <x:c r="J26" s="9"/>
      <x:c r="K26" s="9"/>
      <x:c r="L26" s="9"/>
    </x:row>
  </x:sheetData>
  <x:mergeCells>
    <x:mergeCell ref="A2:L2"/>
    <x:mergeCell ref="A3:L3"/>
    <x:mergeCell ref="A21:L24"/>
  </x:mergeCells>
  <x:conditionalFormatting sqref="J14:J19">
    <x:cfRule type="containsText" dxfId="6" priority="1" operator="containsText" text="Control failure"/>
    <x:cfRule type="containsText" dxfId="7" priority="2" operator="containsText" text="Meets target"/>
    <x:cfRule type="containsText" dxfId="8" priority="3" operator="containsText" text="Below target"/>
  </x:conditionalFormatting>
  <x:dataValidations count="2">
    <x:dataValidation type="list" sqref="B14:B19">
      <x:formula1>"Higher is better,Lower is better"</x:formula1>
    </x:dataValidation>
    <x:dataValidation type="list" sqref="I14:I19">
      <x:formula1>"Projected,Observed,Validated"</x:formula1>
    </x:dataValidation>
  </x:dataValidations>
  <x:pageMargins left="0.7" right="0.7" top="0.75" bottom="0.75" header="0.3" footer="0.3"/>
</x:worksheet>
</file>